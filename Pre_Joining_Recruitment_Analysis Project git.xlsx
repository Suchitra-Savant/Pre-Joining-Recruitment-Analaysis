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uchitra U Savant\Downloads\"/>
    </mc:Choice>
  </mc:AlternateContent>
  <xr:revisionPtr revIDLastSave="0" documentId="13_ncr:1_{0C894300-7B58-4B60-990F-2B156A1EA14A}" xr6:coauthVersionLast="47" xr6:coauthVersionMax="47" xr10:uidLastSave="{00000000-0000-0000-0000-000000000000}"/>
  <bookViews>
    <workbookView xWindow="-108" yWindow="-108" windowWidth="23256" windowHeight="12456" activeTab="5" xr2:uid="{DDF21662-01CA-40B5-9B4E-3FDB5A486971}"/>
  </bookViews>
  <sheets>
    <sheet name="Pre_Joining_Recruitment_Dataset" sheetId="1" r:id="rId1"/>
    <sheet name="Sheet6" sheetId="8" r:id="rId2"/>
    <sheet name="pivot tables 1" sheetId="2" r:id="rId3"/>
    <sheet name="pivot tables2" sheetId="5" r:id="rId4"/>
    <sheet name=" KPINPIVOT" sheetId="6" r:id="rId5"/>
    <sheet name="dashboard" sheetId="7" r:id="rId6"/>
  </sheets>
  <definedNames>
    <definedName name="Slicer_Experience_Years">#N/A</definedName>
    <definedName name="Slicer_Gender">#N/A</definedName>
    <definedName name="Slicer_Location">#N/A</definedName>
    <definedName name="Slicer_Posi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01" i="8" l="1"/>
  <c r="A1001" i="8"/>
  <c r="B1000" i="8"/>
  <c r="A1000" i="8"/>
  <c r="B999" i="8"/>
  <c r="A999" i="8"/>
  <c r="B998" i="8"/>
  <c r="A998" i="8"/>
  <c r="B997" i="8"/>
  <c r="A997" i="8"/>
  <c r="B996" i="8"/>
  <c r="A996" i="8"/>
  <c r="B995" i="8"/>
  <c r="A995" i="8"/>
  <c r="B994" i="8"/>
  <c r="A994" i="8"/>
  <c r="B993" i="8"/>
  <c r="A993" i="8"/>
  <c r="B992" i="8"/>
  <c r="A992" i="8"/>
  <c r="B991" i="8"/>
  <c r="A991" i="8"/>
  <c r="B990" i="8"/>
  <c r="A990" i="8"/>
  <c r="B989" i="8"/>
  <c r="A989" i="8"/>
  <c r="B988" i="8"/>
  <c r="A988" i="8"/>
  <c r="B987" i="8"/>
  <c r="A987" i="8"/>
  <c r="B986" i="8"/>
  <c r="A986" i="8"/>
  <c r="B985" i="8"/>
  <c r="A985" i="8"/>
  <c r="B984" i="8"/>
  <c r="A984" i="8"/>
  <c r="B983" i="8"/>
  <c r="A983" i="8"/>
  <c r="B982" i="8"/>
  <c r="A982" i="8"/>
  <c r="B981" i="8"/>
  <c r="A981" i="8"/>
  <c r="B980" i="8"/>
  <c r="A980" i="8"/>
  <c r="B979" i="8"/>
  <c r="A979" i="8"/>
  <c r="B978" i="8"/>
  <c r="A978" i="8"/>
  <c r="B977" i="8"/>
  <c r="A977" i="8"/>
  <c r="B976" i="8"/>
  <c r="A976" i="8"/>
  <c r="B975" i="8"/>
  <c r="A975" i="8"/>
  <c r="B974" i="8"/>
  <c r="A974" i="8"/>
  <c r="B973" i="8"/>
  <c r="A973" i="8"/>
  <c r="B972" i="8"/>
  <c r="A972" i="8"/>
  <c r="B971" i="8"/>
  <c r="A971" i="8"/>
  <c r="B970" i="8"/>
  <c r="A970" i="8"/>
  <c r="B969" i="8"/>
  <c r="A969" i="8"/>
  <c r="B968" i="8"/>
  <c r="A968" i="8"/>
  <c r="B967" i="8"/>
  <c r="A967" i="8"/>
  <c r="B966" i="8"/>
  <c r="A966" i="8"/>
  <c r="B965" i="8"/>
  <c r="A965" i="8"/>
  <c r="B964" i="8"/>
  <c r="A964" i="8"/>
  <c r="B963" i="8"/>
  <c r="A963" i="8"/>
  <c r="B962" i="8"/>
  <c r="A962" i="8"/>
  <c r="B961" i="8"/>
  <c r="A961" i="8"/>
  <c r="B960" i="8"/>
  <c r="A960" i="8"/>
  <c r="B959" i="8"/>
  <c r="A959" i="8"/>
  <c r="B958" i="8"/>
  <c r="A958" i="8"/>
  <c r="B957" i="8"/>
  <c r="A957" i="8"/>
  <c r="B956" i="8"/>
  <c r="A956" i="8"/>
  <c r="B955" i="8"/>
  <c r="A955" i="8"/>
  <c r="B954" i="8"/>
  <c r="A954" i="8"/>
  <c r="B953" i="8"/>
  <c r="A953" i="8"/>
  <c r="B952" i="8"/>
  <c r="A952" i="8"/>
  <c r="B951" i="8"/>
  <c r="A951" i="8"/>
  <c r="B950" i="8"/>
  <c r="A950" i="8"/>
  <c r="B949" i="8"/>
  <c r="A949" i="8"/>
  <c r="B948" i="8"/>
  <c r="A948" i="8"/>
  <c r="B947" i="8"/>
  <c r="A947" i="8"/>
  <c r="B946" i="8"/>
  <c r="A946" i="8"/>
  <c r="B945" i="8"/>
  <c r="A945" i="8"/>
  <c r="B944" i="8"/>
  <c r="A944" i="8"/>
  <c r="B943" i="8"/>
  <c r="A943" i="8"/>
  <c r="B942" i="8"/>
  <c r="A942" i="8"/>
  <c r="B941" i="8"/>
  <c r="A941" i="8"/>
  <c r="B940" i="8"/>
  <c r="A940" i="8"/>
  <c r="B939" i="8"/>
  <c r="A939" i="8"/>
  <c r="B938" i="8"/>
  <c r="A938" i="8"/>
  <c r="B937" i="8"/>
  <c r="A937" i="8"/>
  <c r="B936" i="8"/>
  <c r="A936" i="8"/>
  <c r="B935" i="8"/>
  <c r="A935" i="8"/>
  <c r="B934" i="8"/>
  <c r="A934" i="8"/>
  <c r="B933" i="8"/>
  <c r="A933" i="8"/>
  <c r="B932" i="8"/>
  <c r="A932" i="8"/>
  <c r="B931" i="8"/>
  <c r="A931" i="8"/>
  <c r="B930" i="8"/>
  <c r="A930" i="8"/>
  <c r="B929" i="8"/>
  <c r="A929" i="8"/>
  <c r="B928" i="8"/>
  <c r="A928" i="8"/>
  <c r="B927" i="8"/>
  <c r="A927" i="8"/>
  <c r="B926" i="8"/>
  <c r="A926" i="8"/>
  <c r="B925" i="8"/>
  <c r="A925" i="8"/>
  <c r="B924" i="8"/>
  <c r="A924" i="8"/>
  <c r="B923" i="8"/>
  <c r="A923" i="8"/>
  <c r="B922" i="8"/>
  <c r="A922" i="8"/>
  <c r="B921" i="8"/>
  <c r="A921" i="8"/>
  <c r="B920" i="8"/>
  <c r="A920" i="8"/>
  <c r="B919" i="8"/>
  <c r="A919" i="8"/>
  <c r="B918" i="8"/>
  <c r="A918" i="8"/>
  <c r="B917" i="8"/>
  <c r="A917" i="8"/>
  <c r="B916" i="8"/>
  <c r="A916" i="8"/>
  <c r="B915" i="8"/>
  <c r="A915" i="8"/>
  <c r="B914" i="8"/>
  <c r="A914" i="8"/>
  <c r="B913" i="8"/>
  <c r="A913" i="8"/>
  <c r="B912" i="8"/>
  <c r="A912" i="8"/>
  <c r="B911" i="8"/>
  <c r="A911" i="8"/>
  <c r="B910" i="8"/>
  <c r="A910" i="8"/>
  <c r="B909" i="8"/>
  <c r="A909" i="8"/>
  <c r="B908" i="8"/>
  <c r="A908" i="8"/>
  <c r="B907" i="8"/>
  <c r="A907" i="8"/>
  <c r="B906" i="8"/>
  <c r="A906" i="8"/>
  <c r="B905" i="8"/>
  <c r="A905" i="8"/>
  <c r="B904" i="8"/>
  <c r="A904" i="8"/>
  <c r="B903" i="8"/>
  <c r="A903" i="8"/>
  <c r="B902" i="8"/>
  <c r="A902" i="8"/>
  <c r="B901" i="8"/>
  <c r="A901" i="8"/>
  <c r="B900" i="8"/>
  <c r="A900" i="8"/>
  <c r="B899" i="8"/>
  <c r="A899" i="8"/>
  <c r="B898" i="8"/>
  <c r="A898" i="8"/>
  <c r="B897" i="8"/>
  <c r="A897" i="8"/>
  <c r="B896" i="8"/>
  <c r="A896" i="8"/>
  <c r="B895" i="8"/>
  <c r="A895" i="8"/>
  <c r="B894" i="8"/>
  <c r="A894" i="8"/>
  <c r="B893" i="8"/>
  <c r="A893" i="8"/>
  <c r="B892" i="8"/>
  <c r="A892" i="8"/>
  <c r="B891" i="8"/>
  <c r="A891" i="8"/>
  <c r="B890" i="8"/>
  <c r="A890" i="8"/>
  <c r="B889" i="8"/>
  <c r="A889" i="8"/>
  <c r="B888" i="8"/>
  <c r="A888" i="8"/>
  <c r="B887" i="8"/>
  <c r="A887" i="8"/>
  <c r="B886" i="8"/>
  <c r="A886" i="8"/>
  <c r="B885" i="8"/>
  <c r="A885" i="8"/>
  <c r="B884" i="8"/>
  <c r="A884" i="8"/>
  <c r="B883" i="8"/>
  <c r="A883" i="8"/>
  <c r="B882" i="8"/>
  <c r="A882" i="8"/>
  <c r="B881" i="8"/>
  <c r="A881" i="8"/>
  <c r="B880" i="8"/>
  <c r="A880" i="8"/>
  <c r="B879" i="8"/>
  <c r="A879" i="8"/>
  <c r="B878" i="8"/>
  <c r="A878" i="8"/>
  <c r="B877" i="8"/>
  <c r="A877" i="8"/>
  <c r="B876" i="8"/>
  <c r="A876" i="8"/>
  <c r="B875" i="8"/>
  <c r="A875" i="8"/>
  <c r="B874" i="8"/>
  <c r="A874" i="8"/>
  <c r="B873" i="8"/>
  <c r="A873" i="8"/>
  <c r="B872" i="8"/>
  <c r="A872" i="8"/>
  <c r="B871" i="8"/>
  <c r="A871" i="8"/>
  <c r="B870" i="8"/>
  <c r="A870" i="8"/>
  <c r="B869" i="8"/>
  <c r="A869" i="8"/>
  <c r="B868" i="8"/>
  <c r="A868" i="8"/>
  <c r="B867" i="8"/>
  <c r="A867" i="8"/>
  <c r="B866" i="8"/>
  <c r="A866" i="8"/>
  <c r="B865" i="8"/>
  <c r="A865" i="8"/>
  <c r="B864" i="8"/>
  <c r="A864" i="8"/>
  <c r="B863" i="8"/>
  <c r="A863" i="8"/>
  <c r="B862" i="8"/>
  <c r="A862" i="8"/>
  <c r="B861" i="8"/>
  <c r="A861" i="8"/>
  <c r="B860" i="8"/>
  <c r="A860" i="8"/>
  <c r="B859" i="8"/>
  <c r="A859" i="8"/>
  <c r="B858" i="8"/>
  <c r="A858" i="8"/>
  <c r="B857" i="8"/>
  <c r="A857" i="8"/>
  <c r="B856" i="8"/>
  <c r="A856" i="8"/>
  <c r="B855" i="8"/>
  <c r="A855" i="8"/>
  <c r="B854" i="8"/>
  <c r="A854" i="8"/>
  <c r="B853" i="8"/>
  <c r="A853" i="8"/>
  <c r="B852" i="8"/>
  <c r="A852" i="8"/>
  <c r="B851" i="8"/>
  <c r="A851" i="8"/>
  <c r="B850" i="8"/>
  <c r="A850" i="8"/>
  <c r="B849" i="8"/>
  <c r="A849" i="8"/>
  <c r="B848" i="8"/>
  <c r="A848" i="8"/>
  <c r="B847" i="8"/>
  <c r="A847" i="8"/>
  <c r="B846" i="8"/>
  <c r="A846" i="8"/>
  <c r="B845" i="8"/>
  <c r="A845" i="8"/>
  <c r="B844" i="8"/>
  <c r="A844" i="8"/>
  <c r="B843" i="8"/>
  <c r="A843" i="8"/>
  <c r="B842" i="8"/>
  <c r="A842" i="8"/>
  <c r="B841" i="8"/>
  <c r="A841" i="8"/>
  <c r="B840" i="8"/>
  <c r="A840" i="8"/>
  <c r="B839" i="8"/>
  <c r="A839" i="8"/>
  <c r="B838" i="8"/>
  <c r="A838" i="8"/>
  <c r="B837" i="8"/>
  <c r="A837" i="8"/>
  <c r="B836" i="8"/>
  <c r="A836" i="8"/>
  <c r="B835" i="8"/>
  <c r="A835" i="8"/>
  <c r="B834" i="8"/>
  <c r="A834" i="8"/>
  <c r="B833" i="8"/>
  <c r="A833" i="8"/>
  <c r="B832" i="8"/>
  <c r="A832" i="8"/>
  <c r="B831" i="8"/>
  <c r="A831" i="8"/>
  <c r="B830" i="8"/>
  <c r="A830" i="8"/>
  <c r="B829" i="8"/>
  <c r="A829" i="8"/>
  <c r="B828" i="8"/>
  <c r="A828" i="8"/>
  <c r="B827" i="8"/>
  <c r="A827" i="8"/>
  <c r="B826" i="8"/>
  <c r="A826" i="8"/>
  <c r="B825" i="8"/>
  <c r="A825" i="8"/>
  <c r="B824" i="8"/>
  <c r="A824" i="8"/>
  <c r="B823" i="8"/>
  <c r="A823" i="8"/>
  <c r="B822" i="8"/>
  <c r="A822" i="8"/>
  <c r="B821" i="8"/>
  <c r="A821" i="8"/>
  <c r="B820" i="8"/>
  <c r="A820" i="8"/>
  <c r="B819" i="8"/>
  <c r="A819" i="8"/>
  <c r="B818" i="8"/>
  <c r="A818" i="8"/>
  <c r="B817" i="8"/>
  <c r="A817" i="8"/>
  <c r="B816" i="8"/>
  <c r="A816" i="8"/>
  <c r="B815" i="8"/>
  <c r="A815" i="8"/>
  <c r="B814" i="8"/>
  <c r="A814" i="8"/>
  <c r="B813" i="8"/>
  <c r="A813" i="8"/>
  <c r="B812" i="8"/>
  <c r="A812" i="8"/>
  <c r="B811" i="8"/>
  <c r="A811" i="8"/>
  <c r="B810" i="8"/>
  <c r="A810" i="8"/>
  <c r="B809" i="8"/>
  <c r="A809" i="8"/>
  <c r="B808" i="8"/>
  <c r="A808" i="8"/>
  <c r="B807" i="8"/>
  <c r="A807" i="8"/>
  <c r="B806" i="8"/>
  <c r="A806" i="8"/>
  <c r="B805" i="8"/>
  <c r="A805" i="8"/>
  <c r="B804" i="8"/>
  <c r="A804" i="8"/>
  <c r="B803" i="8"/>
  <c r="A803" i="8"/>
  <c r="B802" i="8"/>
  <c r="A802" i="8"/>
  <c r="B801" i="8"/>
  <c r="A801" i="8"/>
  <c r="B800" i="8"/>
  <c r="A800" i="8"/>
  <c r="B799" i="8"/>
  <c r="A799" i="8"/>
  <c r="B798" i="8"/>
  <c r="A798" i="8"/>
  <c r="B797" i="8"/>
  <c r="A797" i="8"/>
  <c r="B796" i="8"/>
  <c r="A796" i="8"/>
  <c r="B795" i="8"/>
  <c r="A795" i="8"/>
  <c r="B794" i="8"/>
  <c r="A794" i="8"/>
  <c r="B793" i="8"/>
  <c r="A793" i="8"/>
  <c r="B792" i="8"/>
  <c r="A792" i="8"/>
  <c r="B791" i="8"/>
  <c r="A791" i="8"/>
  <c r="B790" i="8"/>
  <c r="A790" i="8"/>
  <c r="B789" i="8"/>
  <c r="A789" i="8"/>
  <c r="B788" i="8"/>
  <c r="A788" i="8"/>
  <c r="B787" i="8"/>
  <c r="A787" i="8"/>
  <c r="B786" i="8"/>
  <c r="A786" i="8"/>
  <c r="B785" i="8"/>
  <c r="A785" i="8"/>
  <c r="B784" i="8"/>
  <c r="A784" i="8"/>
  <c r="B783" i="8"/>
  <c r="A783" i="8"/>
  <c r="B782" i="8"/>
  <c r="A782" i="8"/>
  <c r="B781" i="8"/>
  <c r="A781" i="8"/>
  <c r="B780" i="8"/>
  <c r="A780" i="8"/>
  <c r="B779" i="8"/>
  <c r="A779" i="8"/>
  <c r="B778" i="8"/>
  <c r="A778" i="8"/>
  <c r="B777" i="8"/>
  <c r="A777" i="8"/>
  <c r="B776" i="8"/>
  <c r="A776" i="8"/>
  <c r="B775" i="8"/>
  <c r="A775" i="8"/>
  <c r="B774" i="8"/>
  <c r="A774" i="8"/>
  <c r="B773" i="8"/>
  <c r="A773" i="8"/>
  <c r="B772" i="8"/>
  <c r="A772" i="8"/>
  <c r="B771" i="8"/>
  <c r="A771" i="8"/>
  <c r="B770" i="8"/>
  <c r="A770" i="8"/>
  <c r="B769" i="8"/>
  <c r="A769" i="8"/>
  <c r="B768" i="8"/>
  <c r="A768" i="8"/>
  <c r="B767" i="8"/>
  <c r="A767" i="8"/>
  <c r="B766" i="8"/>
  <c r="A766" i="8"/>
  <c r="B765" i="8"/>
  <c r="A765" i="8"/>
  <c r="B764" i="8"/>
  <c r="A764" i="8"/>
  <c r="B763" i="8"/>
  <c r="A763" i="8"/>
  <c r="B762" i="8"/>
  <c r="A762" i="8"/>
  <c r="B761" i="8"/>
  <c r="A761" i="8"/>
  <c r="B760" i="8"/>
  <c r="A760" i="8"/>
  <c r="B759" i="8"/>
  <c r="A759" i="8"/>
  <c r="B758" i="8"/>
  <c r="A758" i="8"/>
  <c r="B757" i="8"/>
  <c r="A757" i="8"/>
  <c r="B756" i="8"/>
  <c r="A756" i="8"/>
  <c r="B755" i="8"/>
  <c r="A755" i="8"/>
  <c r="B754" i="8"/>
  <c r="A754" i="8"/>
  <c r="B753" i="8"/>
  <c r="A753" i="8"/>
  <c r="B752" i="8"/>
  <c r="A752" i="8"/>
  <c r="B751" i="8"/>
  <c r="A751" i="8"/>
  <c r="B750" i="8"/>
  <c r="A750" i="8"/>
  <c r="B749" i="8"/>
  <c r="A749" i="8"/>
  <c r="B748" i="8"/>
  <c r="A748" i="8"/>
  <c r="B747" i="8"/>
  <c r="A747" i="8"/>
  <c r="B746" i="8"/>
  <c r="A746" i="8"/>
  <c r="B745" i="8"/>
  <c r="A745" i="8"/>
  <c r="B744" i="8"/>
  <c r="A744" i="8"/>
  <c r="B743" i="8"/>
  <c r="A743" i="8"/>
  <c r="B742" i="8"/>
  <c r="A742" i="8"/>
  <c r="B741" i="8"/>
  <c r="A741" i="8"/>
  <c r="B740" i="8"/>
  <c r="A740" i="8"/>
  <c r="B739" i="8"/>
  <c r="A739" i="8"/>
  <c r="B738" i="8"/>
  <c r="A738" i="8"/>
  <c r="B737" i="8"/>
  <c r="A737" i="8"/>
  <c r="B736" i="8"/>
  <c r="A736" i="8"/>
  <c r="B735" i="8"/>
  <c r="A735" i="8"/>
  <c r="B734" i="8"/>
  <c r="A734" i="8"/>
  <c r="B733" i="8"/>
  <c r="A733" i="8"/>
  <c r="B732" i="8"/>
  <c r="A732" i="8"/>
  <c r="B731" i="8"/>
  <c r="A731" i="8"/>
  <c r="B730" i="8"/>
  <c r="A730" i="8"/>
  <c r="B729" i="8"/>
  <c r="A729" i="8"/>
  <c r="B728" i="8"/>
  <c r="A728" i="8"/>
  <c r="B727" i="8"/>
  <c r="A727" i="8"/>
  <c r="B726" i="8"/>
  <c r="A726" i="8"/>
  <c r="B725" i="8"/>
  <c r="A725" i="8"/>
  <c r="B724" i="8"/>
  <c r="A724" i="8"/>
  <c r="B723" i="8"/>
  <c r="A723" i="8"/>
  <c r="B722" i="8"/>
  <c r="A722" i="8"/>
  <c r="B721" i="8"/>
  <c r="A721" i="8"/>
  <c r="B720" i="8"/>
  <c r="A720" i="8"/>
  <c r="B719" i="8"/>
  <c r="A719" i="8"/>
  <c r="B718" i="8"/>
  <c r="A718" i="8"/>
  <c r="B717" i="8"/>
  <c r="A717" i="8"/>
  <c r="B716" i="8"/>
  <c r="A716" i="8"/>
  <c r="B715" i="8"/>
  <c r="A715" i="8"/>
  <c r="B714" i="8"/>
  <c r="A714" i="8"/>
  <c r="B713" i="8"/>
  <c r="A713" i="8"/>
  <c r="B712" i="8"/>
  <c r="A712" i="8"/>
  <c r="B711" i="8"/>
  <c r="A711" i="8"/>
  <c r="B710" i="8"/>
  <c r="A710" i="8"/>
  <c r="B709" i="8"/>
  <c r="A709" i="8"/>
  <c r="B708" i="8"/>
  <c r="A708" i="8"/>
  <c r="B707" i="8"/>
  <c r="A707" i="8"/>
  <c r="B706" i="8"/>
  <c r="A706" i="8"/>
  <c r="B705" i="8"/>
  <c r="A705" i="8"/>
  <c r="B704" i="8"/>
  <c r="A704" i="8"/>
  <c r="B703" i="8"/>
  <c r="A703" i="8"/>
  <c r="B702" i="8"/>
  <c r="A702" i="8"/>
  <c r="B701" i="8"/>
  <c r="A701" i="8"/>
  <c r="B700" i="8"/>
  <c r="A700" i="8"/>
  <c r="B699" i="8"/>
  <c r="A699" i="8"/>
  <c r="B698" i="8"/>
  <c r="A698" i="8"/>
  <c r="B697" i="8"/>
  <c r="A697" i="8"/>
  <c r="B696" i="8"/>
  <c r="A696" i="8"/>
  <c r="B695" i="8"/>
  <c r="A695" i="8"/>
  <c r="B694" i="8"/>
  <c r="A694" i="8"/>
  <c r="B693" i="8"/>
  <c r="A693" i="8"/>
  <c r="B692" i="8"/>
  <c r="A692" i="8"/>
  <c r="B691" i="8"/>
  <c r="A691" i="8"/>
  <c r="B690" i="8"/>
  <c r="A690" i="8"/>
  <c r="B689" i="8"/>
  <c r="A689" i="8"/>
  <c r="B688" i="8"/>
  <c r="A688" i="8"/>
  <c r="B687" i="8"/>
  <c r="A687" i="8"/>
  <c r="B686" i="8"/>
  <c r="A686" i="8"/>
  <c r="B685" i="8"/>
  <c r="A685" i="8"/>
  <c r="B684" i="8"/>
  <c r="A684" i="8"/>
  <c r="B683" i="8"/>
  <c r="A683" i="8"/>
  <c r="B682" i="8"/>
  <c r="A682" i="8"/>
  <c r="B681" i="8"/>
  <c r="A681" i="8"/>
  <c r="B680" i="8"/>
  <c r="A680" i="8"/>
  <c r="B679" i="8"/>
  <c r="A679" i="8"/>
  <c r="B678" i="8"/>
  <c r="A678" i="8"/>
  <c r="B677" i="8"/>
  <c r="A677" i="8"/>
  <c r="B676" i="8"/>
  <c r="A676" i="8"/>
  <c r="B675" i="8"/>
  <c r="A675" i="8"/>
  <c r="B674" i="8"/>
  <c r="A674" i="8"/>
  <c r="B673" i="8"/>
  <c r="A673" i="8"/>
  <c r="B672" i="8"/>
  <c r="A672" i="8"/>
  <c r="B671" i="8"/>
  <c r="A671" i="8"/>
  <c r="B670" i="8"/>
  <c r="A670" i="8"/>
  <c r="B669" i="8"/>
  <c r="A669" i="8"/>
  <c r="B668" i="8"/>
  <c r="A668" i="8"/>
  <c r="B667" i="8"/>
  <c r="A667" i="8"/>
  <c r="B666" i="8"/>
  <c r="A666" i="8"/>
  <c r="B665" i="8"/>
  <c r="A665" i="8"/>
  <c r="B664" i="8"/>
  <c r="A664" i="8"/>
  <c r="B663" i="8"/>
  <c r="A663" i="8"/>
  <c r="B662" i="8"/>
  <c r="A662" i="8"/>
  <c r="B661" i="8"/>
  <c r="A661" i="8"/>
  <c r="B660" i="8"/>
  <c r="A660" i="8"/>
  <c r="B659" i="8"/>
  <c r="A659" i="8"/>
  <c r="B658" i="8"/>
  <c r="A658" i="8"/>
  <c r="B657" i="8"/>
  <c r="A657" i="8"/>
  <c r="B656" i="8"/>
  <c r="A656" i="8"/>
  <c r="B655" i="8"/>
  <c r="A655" i="8"/>
  <c r="B654" i="8"/>
  <c r="A654" i="8"/>
  <c r="B653" i="8"/>
  <c r="A653" i="8"/>
  <c r="B652" i="8"/>
  <c r="A652" i="8"/>
  <c r="B651" i="8"/>
  <c r="A651" i="8"/>
  <c r="B650" i="8"/>
  <c r="A650" i="8"/>
  <c r="B649" i="8"/>
  <c r="A649" i="8"/>
  <c r="B648" i="8"/>
  <c r="A648" i="8"/>
  <c r="B647" i="8"/>
  <c r="A647" i="8"/>
  <c r="B646" i="8"/>
  <c r="A646" i="8"/>
  <c r="B645" i="8"/>
  <c r="A645" i="8"/>
  <c r="B644" i="8"/>
  <c r="A644" i="8"/>
  <c r="B643" i="8"/>
  <c r="A643" i="8"/>
  <c r="B642" i="8"/>
  <c r="A642" i="8"/>
  <c r="B641" i="8"/>
  <c r="A641" i="8"/>
  <c r="B640" i="8"/>
  <c r="A640" i="8"/>
  <c r="B639" i="8"/>
  <c r="A639" i="8"/>
  <c r="B638" i="8"/>
  <c r="A638" i="8"/>
  <c r="B637" i="8"/>
  <c r="A637" i="8"/>
  <c r="B636" i="8"/>
  <c r="A636" i="8"/>
  <c r="B635" i="8"/>
  <c r="A635" i="8"/>
  <c r="B634" i="8"/>
  <c r="A634" i="8"/>
  <c r="B633" i="8"/>
  <c r="A633" i="8"/>
  <c r="B632" i="8"/>
  <c r="A632" i="8"/>
  <c r="B631" i="8"/>
  <c r="A631" i="8"/>
  <c r="B630" i="8"/>
  <c r="A630" i="8"/>
  <c r="B629" i="8"/>
  <c r="A629" i="8"/>
  <c r="B628" i="8"/>
  <c r="A628" i="8"/>
  <c r="B627" i="8"/>
  <c r="A627" i="8"/>
  <c r="B626" i="8"/>
  <c r="A626" i="8"/>
  <c r="B625" i="8"/>
  <c r="A625" i="8"/>
  <c r="B624" i="8"/>
  <c r="A624" i="8"/>
  <c r="B623" i="8"/>
  <c r="A623" i="8"/>
  <c r="B622" i="8"/>
  <c r="A622" i="8"/>
  <c r="B621" i="8"/>
  <c r="A621" i="8"/>
  <c r="B620" i="8"/>
  <c r="A620" i="8"/>
  <c r="B619" i="8"/>
  <c r="A619" i="8"/>
  <c r="B618" i="8"/>
  <c r="A618" i="8"/>
  <c r="B617" i="8"/>
  <c r="A617" i="8"/>
  <c r="B616" i="8"/>
  <c r="A616" i="8"/>
  <c r="B615" i="8"/>
  <c r="A615" i="8"/>
  <c r="B614" i="8"/>
  <c r="A614" i="8"/>
  <c r="B613" i="8"/>
  <c r="A613" i="8"/>
  <c r="B612" i="8"/>
  <c r="A612" i="8"/>
  <c r="B611" i="8"/>
  <c r="A611" i="8"/>
  <c r="B610" i="8"/>
  <c r="A610" i="8"/>
  <c r="B609" i="8"/>
  <c r="A609" i="8"/>
  <c r="B608" i="8"/>
  <c r="A608" i="8"/>
  <c r="B607" i="8"/>
  <c r="A607" i="8"/>
  <c r="B606" i="8"/>
  <c r="A606" i="8"/>
  <c r="B605" i="8"/>
  <c r="A605" i="8"/>
  <c r="B604" i="8"/>
  <c r="A604" i="8"/>
  <c r="B603" i="8"/>
  <c r="A603" i="8"/>
  <c r="B602" i="8"/>
  <c r="A602" i="8"/>
  <c r="B601" i="8"/>
  <c r="A601" i="8"/>
  <c r="B600" i="8"/>
  <c r="A600" i="8"/>
  <c r="B599" i="8"/>
  <c r="A599" i="8"/>
  <c r="B598" i="8"/>
  <c r="A598" i="8"/>
  <c r="B597" i="8"/>
  <c r="A597" i="8"/>
  <c r="B596" i="8"/>
  <c r="A596" i="8"/>
  <c r="B595" i="8"/>
  <c r="A595" i="8"/>
  <c r="B594" i="8"/>
  <c r="A594" i="8"/>
  <c r="B593" i="8"/>
  <c r="A593" i="8"/>
  <c r="B592" i="8"/>
  <c r="A592" i="8"/>
  <c r="B591" i="8"/>
  <c r="A591" i="8"/>
  <c r="B590" i="8"/>
  <c r="A590" i="8"/>
  <c r="B589" i="8"/>
  <c r="A589" i="8"/>
  <c r="B588" i="8"/>
  <c r="A588" i="8"/>
  <c r="B587" i="8"/>
  <c r="A587" i="8"/>
  <c r="B586" i="8"/>
  <c r="A586" i="8"/>
  <c r="B585" i="8"/>
  <c r="A585" i="8"/>
  <c r="B584" i="8"/>
  <c r="A584" i="8"/>
  <c r="B583" i="8"/>
  <c r="A583" i="8"/>
  <c r="B582" i="8"/>
  <c r="A582" i="8"/>
  <c r="B581" i="8"/>
  <c r="A581" i="8"/>
  <c r="B580" i="8"/>
  <c r="A580" i="8"/>
  <c r="B579" i="8"/>
  <c r="A579" i="8"/>
  <c r="B578" i="8"/>
  <c r="A578" i="8"/>
  <c r="B577" i="8"/>
  <c r="A577" i="8"/>
  <c r="B576" i="8"/>
  <c r="A576" i="8"/>
  <c r="B575" i="8"/>
  <c r="A575" i="8"/>
  <c r="B574" i="8"/>
  <c r="A574" i="8"/>
  <c r="B573" i="8"/>
  <c r="A573" i="8"/>
  <c r="B572" i="8"/>
  <c r="A572" i="8"/>
  <c r="B571" i="8"/>
  <c r="A571" i="8"/>
  <c r="B570" i="8"/>
  <c r="A570" i="8"/>
  <c r="B569" i="8"/>
  <c r="A569" i="8"/>
  <c r="B568" i="8"/>
  <c r="A568" i="8"/>
  <c r="B567" i="8"/>
  <c r="A567" i="8"/>
  <c r="B566" i="8"/>
  <c r="A566" i="8"/>
  <c r="B565" i="8"/>
  <c r="A565" i="8"/>
  <c r="B564" i="8"/>
  <c r="A564" i="8"/>
  <c r="B563" i="8"/>
  <c r="A563" i="8"/>
  <c r="B562" i="8"/>
  <c r="A562" i="8"/>
  <c r="B561" i="8"/>
  <c r="A561" i="8"/>
  <c r="B560" i="8"/>
  <c r="A560" i="8"/>
  <c r="B559" i="8"/>
  <c r="A559" i="8"/>
  <c r="B558" i="8"/>
  <c r="A558" i="8"/>
  <c r="B557" i="8"/>
  <c r="A557" i="8"/>
  <c r="B556" i="8"/>
  <c r="A556" i="8"/>
  <c r="B555" i="8"/>
  <c r="A555" i="8"/>
  <c r="B554" i="8"/>
  <c r="A554" i="8"/>
  <c r="B553" i="8"/>
  <c r="A553" i="8"/>
  <c r="B552" i="8"/>
  <c r="A552" i="8"/>
  <c r="B551" i="8"/>
  <c r="A551" i="8"/>
  <c r="B550" i="8"/>
  <c r="A550" i="8"/>
  <c r="B549" i="8"/>
  <c r="A549" i="8"/>
  <c r="B548" i="8"/>
  <c r="A548" i="8"/>
  <c r="B547" i="8"/>
  <c r="A547" i="8"/>
  <c r="B546" i="8"/>
  <c r="A546" i="8"/>
  <c r="B545" i="8"/>
  <c r="A545" i="8"/>
  <c r="B544" i="8"/>
  <c r="A544" i="8"/>
  <c r="B543" i="8"/>
  <c r="A543" i="8"/>
  <c r="B542" i="8"/>
  <c r="A542" i="8"/>
  <c r="B541" i="8"/>
  <c r="A541" i="8"/>
  <c r="B540" i="8"/>
  <c r="A540" i="8"/>
  <c r="B539" i="8"/>
  <c r="A539" i="8"/>
  <c r="B538" i="8"/>
  <c r="A538" i="8"/>
  <c r="B537" i="8"/>
  <c r="A537" i="8"/>
  <c r="B536" i="8"/>
  <c r="A536" i="8"/>
  <c r="B535" i="8"/>
  <c r="A535" i="8"/>
  <c r="B534" i="8"/>
  <c r="A534" i="8"/>
  <c r="B533" i="8"/>
  <c r="A533" i="8"/>
  <c r="B532" i="8"/>
  <c r="A532" i="8"/>
  <c r="B531" i="8"/>
  <c r="A531" i="8"/>
  <c r="B530" i="8"/>
  <c r="A530" i="8"/>
  <c r="B529" i="8"/>
  <c r="A529" i="8"/>
  <c r="B528" i="8"/>
  <c r="A528" i="8"/>
  <c r="B527" i="8"/>
  <c r="A527" i="8"/>
  <c r="B526" i="8"/>
  <c r="A526" i="8"/>
  <c r="B525" i="8"/>
  <c r="A525" i="8"/>
  <c r="B524" i="8"/>
  <c r="A524" i="8"/>
  <c r="B523" i="8"/>
  <c r="A523" i="8"/>
  <c r="B522" i="8"/>
  <c r="A522" i="8"/>
  <c r="B521" i="8"/>
  <c r="A521" i="8"/>
  <c r="B520" i="8"/>
  <c r="A520" i="8"/>
  <c r="B519" i="8"/>
  <c r="A519" i="8"/>
  <c r="B518" i="8"/>
  <c r="A518" i="8"/>
  <c r="B517" i="8"/>
  <c r="A517" i="8"/>
  <c r="B516" i="8"/>
  <c r="A516" i="8"/>
  <c r="B515" i="8"/>
  <c r="A515" i="8"/>
  <c r="B514" i="8"/>
  <c r="A514" i="8"/>
  <c r="B513" i="8"/>
  <c r="A513" i="8"/>
  <c r="B512" i="8"/>
  <c r="A512" i="8"/>
  <c r="B511" i="8"/>
  <c r="A511" i="8"/>
  <c r="B510" i="8"/>
  <c r="A510" i="8"/>
  <c r="B509" i="8"/>
  <c r="A509" i="8"/>
  <c r="B508" i="8"/>
  <c r="A508" i="8"/>
  <c r="B507" i="8"/>
  <c r="A507" i="8"/>
  <c r="B506" i="8"/>
  <c r="A506" i="8"/>
  <c r="B505" i="8"/>
  <c r="A505" i="8"/>
  <c r="B504" i="8"/>
  <c r="A504" i="8"/>
  <c r="B503" i="8"/>
  <c r="A503" i="8"/>
  <c r="B502" i="8"/>
  <c r="A502" i="8"/>
  <c r="B501" i="8"/>
  <c r="A501" i="8"/>
  <c r="B500" i="8"/>
  <c r="A500" i="8"/>
  <c r="B499" i="8"/>
  <c r="A499" i="8"/>
  <c r="B498" i="8"/>
  <c r="A498" i="8"/>
  <c r="B497" i="8"/>
  <c r="A497" i="8"/>
  <c r="B496" i="8"/>
  <c r="A496" i="8"/>
  <c r="B495" i="8"/>
  <c r="A495" i="8"/>
  <c r="B494" i="8"/>
  <c r="A494" i="8"/>
  <c r="B493" i="8"/>
  <c r="A493" i="8"/>
  <c r="B492" i="8"/>
  <c r="A492" i="8"/>
  <c r="B491" i="8"/>
  <c r="A491" i="8"/>
  <c r="B490" i="8"/>
  <c r="A490" i="8"/>
  <c r="B489" i="8"/>
  <c r="A489" i="8"/>
  <c r="B488" i="8"/>
  <c r="A488" i="8"/>
  <c r="B487" i="8"/>
  <c r="A487" i="8"/>
  <c r="B486" i="8"/>
  <c r="A486" i="8"/>
  <c r="B485" i="8"/>
  <c r="A485" i="8"/>
  <c r="B484" i="8"/>
  <c r="A484" i="8"/>
  <c r="B483" i="8"/>
  <c r="A483" i="8"/>
  <c r="B482" i="8"/>
  <c r="A482" i="8"/>
  <c r="B481" i="8"/>
  <c r="A481" i="8"/>
  <c r="B480" i="8"/>
  <c r="A480" i="8"/>
  <c r="B479" i="8"/>
  <c r="A479" i="8"/>
  <c r="B478" i="8"/>
  <c r="A478" i="8"/>
  <c r="B477" i="8"/>
  <c r="A477" i="8"/>
  <c r="B476" i="8"/>
  <c r="A476" i="8"/>
  <c r="B475" i="8"/>
  <c r="A475" i="8"/>
  <c r="B474" i="8"/>
  <c r="A474" i="8"/>
  <c r="B473" i="8"/>
  <c r="A473" i="8"/>
  <c r="B472" i="8"/>
  <c r="A472" i="8"/>
  <c r="B471" i="8"/>
  <c r="A471" i="8"/>
  <c r="B470" i="8"/>
  <c r="A470" i="8"/>
  <c r="B469" i="8"/>
  <c r="A469" i="8"/>
  <c r="B468" i="8"/>
  <c r="A468" i="8"/>
  <c r="B467" i="8"/>
  <c r="A467" i="8"/>
  <c r="B466" i="8"/>
  <c r="A466" i="8"/>
  <c r="B465" i="8"/>
  <c r="A465" i="8"/>
  <c r="B464" i="8"/>
  <c r="A464" i="8"/>
  <c r="B463" i="8"/>
  <c r="A463" i="8"/>
  <c r="B462" i="8"/>
  <c r="A462" i="8"/>
  <c r="B461" i="8"/>
  <c r="A461" i="8"/>
  <c r="B460" i="8"/>
  <c r="A460" i="8"/>
  <c r="B459" i="8"/>
  <c r="A459" i="8"/>
  <c r="B458" i="8"/>
  <c r="A458" i="8"/>
  <c r="B457" i="8"/>
  <c r="A457" i="8"/>
  <c r="B456" i="8"/>
  <c r="A456" i="8"/>
  <c r="B455" i="8"/>
  <c r="A455" i="8"/>
  <c r="B454" i="8"/>
  <c r="A454" i="8"/>
  <c r="B453" i="8"/>
  <c r="A453" i="8"/>
  <c r="B452" i="8"/>
  <c r="A452" i="8"/>
  <c r="B451" i="8"/>
  <c r="A451" i="8"/>
  <c r="B450" i="8"/>
  <c r="A450" i="8"/>
  <c r="B449" i="8"/>
  <c r="A449" i="8"/>
  <c r="B448" i="8"/>
  <c r="A448" i="8"/>
  <c r="B447" i="8"/>
  <c r="A447" i="8"/>
  <c r="B446" i="8"/>
  <c r="A446" i="8"/>
  <c r="B445" i="8"/>
  <c r="A445" i="8"/>
  <c r="B444" i="8"/>
  <c r="A444" i="8"/>
  <c r="B443" i="8"/>
  <c r="A443" i="8"/>
  <c r="B442" i="8"/>
  <c r="A442" i="8"/>
  <c r="B441" i="8"/>
  <c r="A441" i="8"/>
  <c r="B440" i="8"/>
  <c r="A440" i="8"/>
  <c r="B439" i="8"/>
  <c r="A439" i="8"/>
  <c r="B438" i="8"/>
  <c r="A438" i="8"/>
  <c r="B437" i="8"/>
  <c r="A437" i="8"/>
  <c r="B436" i="8"/>
  <c r="A436" i="8"/>
  <c r="B435" i="8"/>
  <c r="A435" i="8"/>
  <c r="B434" i="8"/>
  <c r="A434" i="8"/>
  <c r="B433" i="8"/>
  <c r="A433" i="8"/>
  <c r="B432" i="8"/>
  <c r="A432" i="8"/>
  <c r="B431" i="8"/>
  <c r="A431" i="8"/>
  <c r="B430" i="8"/>
  <c r="A430" i="8"/>
  <c r="B429" i="8"/>
  <c r="A429" i="8"/>
  <c r="B428" i="8"/>
  <c r="A428" i="8"/>
  <c r="B427" i="8"/>
  <c r="A427" i="8"/>
  <c r="B426" i="8"/>
  <c r="A426" i="8"/>
  <c r="B425" i="8"/>
  <c r="A425" i="8"/>
  <c r="B424" i="8"/>
  <c r="A424" i="8"/>
  <c r="B423" i="8"/>
  <c r="A423" i="8"/>
  <c r="B422" i="8"/>
  <c r="A422" i="8"/>
  <c r="B421" i="8"/>
  <c r="A421" i="8"/>
  <c r="B420" i="8"/>
  <c r="A420" i="8"/>
  <c r="B419" i="8"/>
  <c r="A419" i="8"/>
  <c r="B418" i="8"/>
  <c r="A418" i="8"/>
  <c r="B417" i="8"/>
  <c r="A417" i="8"/>
  <c r="B416" i="8"/>
  <c r="A416" i="8"/>
  <c r="B415" i="8"/>
  <c r="A415" i="8"/>
  <c r="B414" i="8"/>
  <c r="A414" i="8"/>
  <c r="B413" i="8"/>
  <c r="A413" i="8"/>
  <c r="B412" i="8"/>
  <c r="A412" i="8"/>
  <c r="B411" i="8"/>
  <c r="A411" i="8"/>
  <c r="B410" i="8"/>
  <c r="A410" i="8"/>
  <c r="B409" i="8"/>
  <c r="A409" i="8"/>
  <c r="B408" i="8"/>
  <c r="A408" i="8"/>
  <c r="B407" i="8"/>
  <c r="A407" i="8"/>
  <c r="B406" i="8"/>
  <c r="A406" i="8"/>
  <c r="B405" i="8"/>
  <c r="A405" i="8"/>
  <c r="B404" i="8"/>
  <c r="A404" i="8"/>
  <c r="B403" i="8"/>
  <c r="A403" i="8"/>
  <c r="B402" i="8"/>
  <c r="A402" i="8"/>
  <c r="B401" i="8"/>
  <c r="A401" i="8"/>
  <c r="B400" i="8"/>
  <c r="A400" i="8"/>
  <c r="B399" i="8"/>
  <c r="A399" i="8"/>
  <c r="B398" i="8"/>
  <c r="A398" i="8"/>
  <c r="B397" i="8"/>
  <c r="A397" i="8"/>
  <c r="B396" i="8"/>
  <c r="A396" i="8"/>
  <c r="B395" i="8"/>
  <c r="A395" i="8"/>
  <c r="B394" i="8"/>
  <c r="A394" i="8"/>
  <c r="B393" i="8"/>
  <c r="A393" i="8"/>
  <c r="B392" i="8"/>
  <c r="A392" i="8"/>
  <c r="B391" i="8"/>
  <c r="A391" i="8"/>
  <c r="B390" i="8"/>
  <c r="A390" i="8"/>
  <c r="B389" i="8"/>
  <c r="A389" i="8"/>
  <c r="B388" i="8"/>
  <c r="A388" i="8"/>
  <c r="B387" i="8"/>
  <c r="A387" i="8"/>
  <c r="B386" i="8"/>
  <c r="A386" i="8"/>
  <c r="B385" i="8"/>
  <c r="A385" i="8"/>
  <c r="B384" i="8"/>
  <c r="A384" i="8"/>
  <c r="B383" i="8"/>
  <c r="A383" i="8"/>
  <c r="B382" i="8"/>
  <c r="A382" i="8"/>
  <c r="B381" i="8"/>
  <c r="A381" i="8"/>
  <c r="B380" i="8"/>
  <c r="A380" i="8"/>
  <c r="B379" i="8"/>
  <c r="A379" i="8"/>
  <c r="B378" i="8"/>
  <c r="A378" i="8"/>
  <c r="B377" i="8"/>
  <c r="A377" i="8"/>
  <c r="B376" i="8"/>
  <c r="A376" i="8"/>
  <c r="B375" i="8"/>
  <c r="A375" i="8"/>
  <c r="B374" i="8"/>
  <c r="A374" i="8"/>
  <c r="B373" i="8"/>
  <c r="A373" i="8"/>
  <c r="B372" i="8"/>
  <c r="A372" i="8"/>
  <c r="B371" i="8"/>
  <c r="A371" i="8"/>
  <c r="B370" i="8"/>
  <c r="A370" i="8"/>
  <c r="B369" i="8"/>
  <c r="A369" i="8"/>
  <c r="B368" i="8"/>
  <c r="A368" i="8"/>
  <c r="B367" i="8"/>
  <c r="A367" i="8"/>
  <c r="B366" i="8"/>
  <c r="A366" i="8"/>
  <c r="B365" i="8"/>
  <c r="A365" i="8"/>
  <c r="B364" i="8"/>
  <c r="A364" i="8"/>
  <c r="B363" i="8"/>
  <c r="A363" i="8"/>
  <c r="B362" i="8"/>
  <c r="A362" i="8"/>
  <c r="B361" i="8"/>
  <c r="A361" i="8"/>
  <c r="B360" i="8"/>
  <c r="A360" i="8"/>
  <c r="B359" i="8"/>
  <c r="A359" i="8"/>
  <c r="B358" i="8"/>
  <c r="A358" i="8"/>
  <c r="B357" i="8"/>
  <c r="A357" i="8"/>
  <c r="B356" i="8"/>
  <c r="A356" i="8"/>
  <c r="B355" i="8"/>
  <c r="A355" i="8"/>
  <c r="B354" i="8"/>
  <c r="A354" i="8"/>
  <c r="B353" i="8"/>
  <c r="A353" i="8"/>
  <c r="B352" i="8"/>
  <c r="A352" i="8"/>
  <c r="B351" i="8"/>
  <c r="A351" i="8"/>
  <c r="B350" i="8"/>
  <c r="A350" i="8"/>
  <c r="B349" i="8"/>
  <c r="A349" i="8"/>
  <c r="B348" i="8"/>
  <c r="A348" i="8"/>
  <c r="B347" i="8"/>
  <c r="A347" i="8"/>
  <c r="B346" i="8"/>
  <c r="A346" i="8"/>
  <c r="B345" i="8"/>
  <c r="A345" i="8"/>
  <c r="B344" i="8"/>
  <c r="A344" i="8"/>
  <c r="B343" i="8"/>
  <c r="A343" i="8"/>
  <c r="B342" i="8"/>
  <c r="A342" i="8"/>
  <c r="B341" i="8"/>
  <c r="A341" i="8"/>
  <c r="B340" i="8"/>
  <c r="A340" i="8"/>
  <c r="B339" i="8"/>
  <c r="A339" i="8"/>
  <c r="B338" i="8"/>
  <c r="A338" i="8"/>
  <c r="B337" i="8"/>
  <c r="A337" i="8"/>
  <c r="B336" i="8"/>
  <c r="A336" i="8"/>
  <c r="B335" i="8"/>
  <c r="A335" i="8"/>
  <c r="B334" i="8"/>
  <c r="A334" i="8"/>
  <c r="B333" i="8"/>
  <c r="A333" i="8"/>
  <c r="B332" i="8"/>
  <c r="A332" i="8"/>
  <c r="B331" i="8"/>
  <c r="A331" i="8"/>
  <c r="B330" i="8"/>
  <c r="A330" i="8"/>
  <c r="B329" i="8"/>
  <c r="A329" i="8"/>
  <c r="B328" i="8"/>
  <c r="A328" i="8"/>
  <c r="B327" i="8"/>
  <c r="A327" i="8"/>
  <c r="B326" i="8"/>
  <c r="A326" i="8"/>
  <c r="B325" i="8"/>
  <c r="A325" i="8"/>
  <c r="B324" i="8"/>
  <c r="A324" i="8"/>
  <c r="B323" i="8"/>
  <c r="A323" i="8"/>
  <c r="B322" i="8"/>
  <c r="A322" i="8"/>
  <c r="B321" i="8"/>
  <c r="A321" i="8"/>
  <c r="B320" i="8"/>
  <c r="A320" i="8"/>
  <c r="B319" i="8"/>
  <c r="A319" i="8"/>
  <c r="B318" i="8"/>
  <c r="A318" i="8"/>
  <c r="B317" i="8"/>
  <c r="A317" i="8"/>
  <c r="B316" i="8"/>
  <c r="A316" i="8"/>
  <c r="B315" i="8"/>
  <c r="A315" i="8"/>
  <c r="B314" i="8"/>
  <c r="A314" i="8"/>
  <c r="B313" i="8"/>
  <c r="A313" i="8"/>
  <c r="B312" i="8"/>
  <c r="A312" i="8"/>
  <c r="B311" i="8"/>
  <c r="A311" i="8"/>
  <c r="B310" i="8"/>
  <c r="A310" i="8"/>
  <c r="B309" i="8"/>
  <c r="A309" i="8"/>
  <c r="B308" i="8"/>
  <c r="A308" i="8"/>
  <c r="B307" i="8"/>
  <c r="A307" i="8"/>
  <c r="B306" i="8"/>
  <c r="A306" i="8"/>
  <c r="B305" i="8"/>
  <c r="A305" i="8"/>
  <c r="B304" i="8"/>
  <c r="A304" i="8"/>
  <c r="B303" i="8"/>
  <c r="A303" i="8"/>
  <c r="B302" i="8"/>
  <c r="A302" i="8"/>
  <c r="B301" i="8"/>
  <c r="A301" i="8"/>
  <c r="B300" i="8"/>
  <c r="A300" i="8"/>
  <c r="B299" i="8"/>
  <c r="A299" i="8"/>
  <c r="B298" i="8"/>
  <c r="A298" i="8"/>
  <c r="B297" i="8"/>
  <c r="A297" i="8"/>
  <c r="B296" i="8"/>
  <c r="A296" i="8"/>
  <c r="B295" i="8"/>
  <c r="A295" i="8"/>
  <c r="B294" i="8"/>
  <c r="A294" i="8"/>
  <c r="B293" i="8"/>
  <c r="A293" i="8"/>
  <c r="B292" i="8"/>
  <c r="A292" i="8"/>
  <c r="B291" i="8"/>
  <c r="A291" i="8"/>
  <c r="B290" i="8"/>
  <c r="A290" i="8"/>
  <c r="B289" i="8"/>
  <c r="A289" i="8"/>
  <c r="B288" i="8"/>
  <c r="A288" i="8"/>
  <c r="B287" i="8"/>
  <c r="A287" i="8"/>
  <c r="B286" i="8"/>
  <c r="A286" i="8"/>
  <c r="B285" i="8"/>
  <c r="A285" i="8"/>
  <c r="B284" i="8"/>
  <c r="A284" i="8"/>
  <c r="B283" i="8"/>
  <c r="A283" i="8"/>
  <c r="B282" i="8"/>
  <c r="A282" i="8"/>
  <c r="B281" i="8"/>
  <c r="A281" i="8"/>
  <c r="B280" i="8"/>
  <c r="A280" i="8"/>
  <c r="B279" i="8"/>
  <c r="A279" i="8"/>
  <c r="B278" i="8"/>
  <c r="A278" i="8"/>
  <c r="B277" i="8"/>
  <c r="A277" i="8"/>
  <c r="B276" i="8"/>
  <c r="A276" i="8"/>
  <c r="B275" i="8"/>
  <c r="A275" i="8"/>
  <c r="B274" i="8"/>
  <c r="A274" i="8"/>
  <c r="B273" i="8"/>
  <c r="A273" i="8"/>
  <c r="B272" i="8"/>
  <c r="A272" i="8"/>
  <c r="B271" i="8"/>
  <c r="A271" i="8"/>
  <c r="B270" i="8"/>
  <c r="A270" i="8"/>
  <c r="B269" i="8"/>
  <c r="A269" i="8"/>
  <c r="B268" i="8"/>
  <c r="A268" i="8"/>
  <c r="B267" i="8"/>
  <c r="A267" i="8"/>
  <c r="B266" i="8"/>
  <c r="A266" i="8"/>
  <c r="B265" i="8"/>
  <c r="A265" i="8"/>
  <c r="B264" i="8"/>
  <c r="A264" i="8"/>
  <c r="B263" i="8"/>
  <c r="A263" i="8"/>
  <c r="B262" i="8"/>
  <c r="A262" i="8"/>
  <c r="B261" i="8"/>
  <c r="A261" i="8"/>
  <c r="B260" i="8"/>
  <c r="A260" i="8"/>
  <c r="B259" i="8"/>
  <c r="A259" i="8"/>
  <c r="B258" i="8"/>
  <c r="A258" i="8"/>
  <c r="B257" i="8"/>
  <c r="A257" i="8"/>
  <c r="B256" i="8"/>
  <c r="A256" i="8"/>
  <c r="B255" i="8"/>
  <c r="A255" i="8"/>
  <c r="B254" i="8"/>
  <c r="A254" i="8"/>
  <c r="B253" i="8"/>
  <c r="A253" i="8"/>
  <c r="B252" i="8"/>
  <c r="A252" i="8"/>
  <c r="B251" i="8"/>
  <c r="A251" i="8"/>
  <c r="B250" i="8"/>
  <c r="A250" i="8"/>
  <c r="B249" i="8"/>
  <c r="A249" i="8"/>
  <c r="B248" i="8"/>
  <c r="A248" i="8"/>
  <c r="B247" i="8"/>
  <c r="A247" i="8"/>
  <c r="B246" i="8"/>
  <c r="A246" i="8"/>
  <c r="B245" i="8"/>
  <c r="A245" i="8"/>
  <c r="B244" i="8"/>
  <c r="A244" i="8"/>
  <c r="B243" i="8"/>
  <c r="A243" i="8"/>
  <c r="B242" i="8"/>
  <c r="A242" i="8"/>
  <c r="B241" i="8"/>
  <c r="A241" i="8"/>
  <c r="B240" i="8"/>
  <c r="A240" i="8"/>
  <c r="B239" i="8"/>
  <c r="A239" i="8"/>
  <c r="B238" i="8"/>
  <c r="A238" i="8"/>
  <c r="B237" i="8"/>
  <c r="A237" i="8"/>
  <c r="B236" i="8"/>
  <c r="A236" i="8"/>
  <c r="B235" i="8"/>
  <c r="A235" i="8"/>
  <c r="B234" i="8"/>
  <c r="A234" i="8"/>
  <c r="B233" i="8"/>
  <c r="A233" i="8"/>
  <c r="B232" i="8"/>
  <c r="A232" i="8"/>
  <c r="B231" i="8"/>
  <c r="A231" i="8"/>
  <c r="B230" i="8"/>
  <c r="A230" i="8"/>
  <c r="B229" i="8"/>
  <c r="A229" i="8"/>
  <c r="B228" i="8"/>
  <c r="A228" i="8"/>
  <c r="B227" i="8"/>
  <c r="A227" i="8"/>
  <c r="B226" i="8"/>
  <c r="A226" i="8"/>
  <c r="B225" i="8"/>
  <c r="A225" i="8"/>
  <c r="B224" i="8"/>
  <c r="A224" i="8"/>
  <c r="B223" i="8"/>
  <c r="A223" i="8"/>
  <c r="B222" i="8"/>
  <c r="A222" i="8"/>
  <c r="B221" i="8"/>
  <c r="A221" i="8"/>
  <c r="B220" i="8"/>
  <c r="A220" i="8"/>
  <c r="B219" i="8"/>
  <c r="A219" i="8"/>
  <c r="B218" i="8"/>
  <c r="A218" i="8"/>
  <c r="B217" i="8"/>
  <c r="A217" i="8"/>
  <c r="B216" i="8"/>
  <c r="A216" i="8"/>
  <c r="B215" i="8"/>
  <c r="A215" i="8"/>
  <c r="B214" i="8"/>
  <c r="A214" i="8"/>
  <c r="B213" i="8"/>
  <c r="A213" i="8"/>
  <c r="B212" i="8"/>
  <c r="A212" i="8"/>
  <c r="B211" i="8"/>
  <c r="A211" i="8"/>
  <c r="B210" i="8"/>
  <c r="A210" i="8"/>
  <c r="B209" i="8"/>
  <c r="A209" i="8"/>
  <c r="B208" i="8"/>
  <c r="A208" i="8"/>
  <c r="B207" i="8"/>
  <c r="A207" i="8"/>
  <c r="B206" i="8"/>
  <c r="A206" i="8"/>
  <c r="B205" i="8"/>
  <c r="A205" i="8"/>
  <c r="B204" i="8"/>
  <c r="A204" i="8"/>
  <c r="B203" i="8"/>
  <c r="A203" i="8"/>
  <c r="B202" i="8"/>
  <c r="A202" i="8"/>
  <c r="B201" i="8"/>
  <c r="A201" i="8"/>
  <c r="B200" i="8"/>
  <c r="A200" i="8"/>
  <c r="B199" i="8"/>
  <c r="A199" i="8"/>
  <c r="B198" i="8"/>
  <c r="A198" i="8"/>
  <c r="B197" i="8"/>
  <c r="A197" i="8"/>
  <c r="B196" i="8"/>
  <c r="A196" i="8"/>
  <c r="B195" i="8"/>
  <c r="A195" i="8"/>
  <c r="B194" i="8"/>
  <c r="A194" i="8"/>
  <c r="B193" i="8"/>
  <c r="A193" i="8"/>
  <c r="B192" i="8"/>
  <c r="A192" i="8"/>
  <c r="B191" i="8"/>
  <c r="A191" i="8"/>
  <c r="B190" i="8"/>
  <c r="A190" i="8"/>
  <c r="B189" i="8"/>
  <c r="A189" i="8"/>
  <c r="B188" i="8"/>
  <c r="A188" i="8"/>
  <c r="B187" i="8"/>
  <c r="A187" i="8"/>
  <c r="B186" i="8"/>
  <c r="A186" i="8"/>
  <c r="B185" i="8"/>
  <c r="A185" i="8"/>
  <c r="B184" i="8"/>
  <c r="A184" i="8"/>
  <c r="B183" i="8"/>
  <c r="A183" i="8"/>
  <c r="B182" i="8"/>
  <c r="A182" i="8"/>
  <c r="B181" i="8"/>
  <c r="A181" i="8"/>
  <c r="B180" i="8"/>
  <c r="A180" i="8"/>
  <c r="B179" i="8"/>
  <c r="A179" i="8"/>
  <c r="B178" i="8"/>
  <c r="A178" i="8"/>
  <c r="B177" i="8"/>
  <c r="A177" i="8"/>
  <c r="B176" i="8"/>
  <c r="A176" i="8"/>
  <c r="B175" i="8"/>
  <c r="A175" i="8"/>
  <c r="B174" i="8"/>
  <c r="A174" i="8"/>
  <c r="B173" i="8"/>
  <c r="A173" i="8"/>
  <c r="B172" i="8"/>
  <c r="A172" i="8"/>
  <c r="B171" i="8"/>
  <c r="A171" i="8"/>
  <c r="B170" i="8"/>
  <c r="A170" i="8"/>
  <c r="B169" i="8"/>
  <c r="A169" i="8"/>
  <c r="B168" i="8"/>
  <c r="A168" i="8"/>
  <c r="B167" i="8"/>
  <c r="A167" i="8"/>
  <c r="B166" i="8"/>
  <c r="A166" i="8"/>
  <c r="B165" i="8"/>
  <c r="A165" i="8"/>
  <c r="B164" i="8"/>
  <c r="A164" i="8"/>
  <c r="B163" i="8"/>
  <c r="A163" i="8"/>
  <c r="B162" i="8"/>
  <c r="A162" i="8"/>
  <c r="B161" i="8"/>
  <c r="A161" i="8"/>
  <c r="B160" i="8"/>
  <c r="A160" i="8"/>
  <c r="B159" i="8"/>
  <c r="A159" i="8"/>
  <c r="B158" i="8"/>
  <c r="A158" i="8"/>
  <c r="B157" i="8"/>
  <c r="A157" i="8"/>
  <c r="B156" i="8"/>
  <c r="A156" i="8"/>
  <c r="B155" i="8"/>
  <c r="A155" i="8"/>
  <c r="B154" i="8"/>
  <c r="A154" i="8"/>
  <c r="B153" i="8"/>
  <c r="A153" i="8"/>
  <c r="B152" i="8"/>
  <c r="A152" i="8"/>
  <c r="B151" i="8"/>
  <c r="A151" i="8"/>
  <c r="B150" i="8"/>
  <c r="A150" i="8"/>
  <c r="B149" i="8"/>
  <c r="A149" i="8"/>
  <c r="B148" i="8"/>
  <c r="A148" i="8"/>
  <c r="B147" i="8"/>
  <c r="A147" i="8"/>
  <c r="B146" i="8"/>
  <c r="A146" i="8"/>
  <c r="B145" i="8"/>
  <c r="A145" i="8"/>
  <c r="B144" i="8"/>
  <c r="A144" i="8"/>
  <c r="B143" i="8"/>
  <c r="A143" i="8"/>
  <c r="B142" i="8"/>
  <c r="A142" i="8"/>
  <c r="B141" i="8"/>
  <c r="A141" i="8"/>
  <c r="B140" i="8"/>
  <c r="A140" i="8"/>
  <c r="B139" i="8"/>
  <c r="A139" i="8"/>
  <c r="B138" i="8"/>
  <c r="A138" i="8"/>
  <c r="B137" i="8"/>
  <c r="A137" i="8"/>
  <c r="B136" i="8"/>
  <c r="A136" i="8"/>
  <c r="B135" i="8"/>
  <c r="A135" i="8"/>
  <c r="B134" i="8"/>
  <c r="A134" i="8"/>
  <c r="B133" i="8"/>
  <c r="A133" i="8"/>
  <c r="B132" i="8"/>
  <c r="A132" i="8"/>
  <c r="B131" i="8"/>
  <c r="A131" i="8"/>
  <c r="B130" i="8"/>
  <c r="A130" i="8"/>
  <c r="B129" i="8"/>
  <c r="A129" i="8"/>
  <c r="B128" i="8"/>
  <c r="A128"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9" i="8"/>
  <c r="A89" i="8"/>
  <c r="B88" i="8"/>
  <c r="A88" i="8"/>
  <c r="B87" i="8"/>
  <c r="A87" i="8"/>
  <c r="B86" i="8"/>
  <c r="A86"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B47" i="8"/>
  <c r="A47" i="8"/>
  <c r="B46" i="8"/>
  <c r="A46" i="8"/>
  <c r="B45" i="8"/>
  <c r="A45" i="8"/>
  <c r="B44" i="8"/>
  <c r="A44" i="8"/>
  <c r="B43" i="8"/>
  <c r="A43" i="8"/>
  <c r="B42" i="8"/>
  <c r="A42" i="8"/>
  <c r="B41" i="8"/>
  <c r="A41" i="8"/>
  <c r="B40" i="8"/>
  <c r="A40" i="8"/>
  <c r="B39" i="8"/>
  <c r="A39" i="8"/>
  <c r="B38" i="8"/>
  <c r="A38"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C2" i="8"/>
  <c r="B2" i="8"/>
  <c r="D2" i="8" s="1"/>
  <c r="A2" i="8"/>
  <c r="F6" i="6"/>
  <c r="E6" i="6"/>
  <c r="C6" i="6"/>
  <c r="B6" i="6"/>
  <c r="D6" i="6" s="1"/>
  <c r="A1" i="7"/>
  <c r="X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2" i="1"/>
  <c r="W2" i="1" s="1"/>
</calcChain>
</file>

<file path=xl/sharedStrings.xml><?xml version="1.0" encoding="utf-8"?>
<sst xmlns="http://schemas.openxmlformats.org/spreadsheetml/2006/main" count="8073" uniqueCount="1080">
  <si>
    <t>Candidate_ID</t>
  </si>
  <si>
    <t>First_Name</t>
  </si>
  <si>
    <t>Last_Name</t>
  </si>
  <si>
    <t>Gender</t>
  </si>
  <si>
    <t>Age</t>
  </si>
  <si>
    <t>Source</t>
  </si>
  <si>
    <t>Position</t>
  </si>
  <si>
    <t>Location</t>
  </si>
  <si>
    <t>Application_Date</t>
  </si>
  <si>
    <t>Interview_Date</t>
  </si>
  <si>
    <t>Offer_Date</t>
  </si>
  <si>
    <t>Experience_Years</t>
  </si>
  <si>
    <t>Notice_Period_Days</t>
  </si>
  <si>
    <t>Final_Status</t>
  </si>
  <si>
    <t>Offered_Salary</t>
  </si>
  <si>
    <t>CAND100000</t>
  </si>
  <si>
    <t>Rohit</t>
  </si>
  <si>
    <t>Mehta</t>
  </si>
  <si>
    <t>Female</t>
  </si>
  <si>
    <t>Indeed</t>
  </si>
  <si>
    <t>Business Analyst</t>
  </si>
  <si>
    <t>Hyderabad</t>
  </si>
  <si>
    <t>Rejected</t>
  </si>
  <si>
    <t>CAND100001</t>
  </si>
  <si>
    <t>Amit</t>
  </si>
  <si>
    <t>Reddy</t>
  </si>
  <si>
    <t>Male</t>
  </si>
  <si>
    <t>Software Engineer</t>
  </si>
  <si>
    <t>Offer Declined</t>
  </si>
  <si>
    <t>CAND100002</t>
  </si>
  <si>
    <t>Joshi</t>
  </si>
  <si>
    <t>Referral</t>
  </si>
  <si>
    <t>CAND100003</t>
  </si>
  <si>
    <t>Pooja</t>
  </si>
  <si>
    <t>Agency</t>
  </si>
  <si>
    <t>HR Recruiter</t>
  </si>
  <si>
    <t>Mumbai</t>
  </si>
  <si>
    <t>CAND100004</t>
  </si>
  <si>
    <t>Vikas</t>
  </si>
  <si>
    <t>LinkedIn</t>
  </si>
  <si>
    <t>Pune</t>
  </si>
  <si>
    <t>CAND100005</t>
  </si>
  <si>
    <t>Neha</t>
  </si>
  <si>
    <t>Kapoor</t>
  </si>
  <si>
    <t>HR Executive</t>
  </si>
  <si>
    <t>Selected</t>
  </si>
  <si>
    <t>CAND100006</t>
  </si>
  <si>
    <t>Rahul</t>
  </si>
  <si>
    <t>In Process</t>
  </si>
  <si>
    <t>CAND100007</t>
  </si>
  <si>
    <t>Singh</t>
  </si>
  <si>
    <t>Bangalore</t>
  </si>
  <si>
    <t>CAND100008</t>
  </si>
  <si>
    <t>Iyer</t>
  </si>
  <si>
    <t>Delhi</t>
  </si>
  <si>
    <t>CAND100009</t>
  </si>
  <si>
    <t>Naukri</t>
  </si>
  <si>
    <t>CAND100010</t>
  </si>
  <si>
    <t>Priya</t>
  </si>
  <si>
    <t>Sharma</t>
  </si>
  <si>
    <t>Data Analyst</t>
  </si>
  <si>
    <t>CAND100011</t>
  </si>
  <si>
    <t>CAND100012</t>
  </si>
  <si>
    <t>Ankit</t>
  </si>
  <si>
    <t>CAND100013</t>
  </si>
  <si>
    <t>Karan</t>
  </si>
  <si>
    <t>Verma</t>
  </si>
  <si>
    <t>CAND100014</t>
  </si>
  <si>
    <t>CAND100015</t>
  </si>
  <si>
    <t>Patel</t>
  </si>
  <si>
    <t>CAND100016</t>
  </si>
  <si>
    <t>CAND100017</t>
  </si>
  <si>
    <t>Sneha</t>
  </si>
  <si>
    <t>CAND100018</t>
  </si>
  <si>
    <t>Campus</t>
  </si>
  <si>
    <t>CAND100019</t>
  </si>
  <si>
    <t>CAND100020</t>
  </si>
  <si>
    <t>CAND100021</t>
  </si>
  <si>
    <t>CAND100022</t>
  </si>
  <si>
    <t>CAND100023</t>
  </si>
  <si>
    <t>CAND100024</t>
  </si>
  <si>
    <t>CAND100025</t>
  </si>
  <si>
    <t>CAND100026</t>
  </si>
  <si>
    <t>CAND100027</t>
  </si>
  <si>
    <t>CAND100028</t>
  </si>
  <si>
    <t>CAND100029</t>
  </si>
  <si>
    <t>CAND100030</t>
  </si>
  <si>
    <t>CAND100031</t>
  </si>
  <si>
    <t>CAND100032</t>
  </si>
  <si>
    <t>CAND100033</t>
  </si>
  <si>
    <t>CAND100034</t>
  </si>
  <si>
    <t>CAND100035</t>
  </si>
  <si>
    <t>CAND100036</t>
  </si>
  <si>
    <t>CAND100037</t>
  </si>
  <si>
    <t>Gupta</t>
  </si>
  <si>
    <t>CAND100038</t>
  </si>
  <si>
    <t>CAND100039</t>
  </si>
  <si>
    <t>CAND100040</t>
  </si>
  <si>
    <t>CAND100041</t>
  </si>
  <si>
    <t>CAND100042</t>
  </si>
  <si>
    <t>CAND100043</t>
  </si>
  <si>
    <t>CAND100044</t>
  </si>
  <si>
    <t>CAND100045</t>
  </si>
  <si>
    <t>CAND100046</t>
  </si>
  <si>
    <t>CAND100047</t>
  </si>
  <si>
    <t>CAND100048</t>
  </si>
  <si>
    <t>CAND100049</t>
  </si>
  <si>
    <t>CAND100050</t>
  </si>
  <si>
    <t>CAND100051</t>
  </si>
  <si>
    <t>CAND100052</t>
  </si>
  <si>
    <t>CAND100053</t>
  </si>
  <si>
    <t>CAND100054</t>
  </si>
  <si>
    <t>CAND100055</t>
  </si>
  <si>
    <t>CAND100056</t>
  </si>
  <si>
    <t>CAND100057</t>
  </si>
  <si>
    <t>CAND100058</t>
  </si>
  <si>
    <t>CAND100059</t>
  </si>
  <si>
    <t>CAND100060</t>
  </si>
  <si>
    <t>CAND100061</t>
  </si>
  <si>
    <t>CAND100062</t>
  </si>
  <si>
    <t>CAND100063</t>
  </si>
  <si>
    <t>CAND100064</t>
  </si>
  <si>
    <t>CAND100065</t>
  </si>
  <si>
    <t>CAND100066</t>
  </si>
  <si>
    <t>CAND100067</t>
  </si>
  <si>
    <t>CAND100068</t>
  </si>
  <si>
    <t>CAND100069</t>
  </si>
  <si>
    <t>CAND100070</t>
  </si>
  <si>
    <t>CAND100071</t>
  </si>
  <si>
    <t>CAND100072</t>
  </si>
  <si>
    <t>CAND100073</t>
  </si>
  <si>
    <t>CAND100074</t>
  </si>
  <si>
    <t>CAND100075</t>
  </si>
  <si>
    <t>CAND100076</t>
  </si>
  <si>
    <t>CAND100077</t>
  </si>
  <si>
    <t>CAND100078</t>
  </si>
  <si>
    <t>CAND100079</t>
  </si>
  <si>
    <t>CAND100080</t>
  </si>
  <si>
    <t>CAND100081</t>
  </si>
  <si>
    <t>CAND100082</t>
  </si>
  <si>
    <t>CAND100083</t>
  </si>
  <si>
    <t>CAND100084</t>
  </si>
  <si>
    <t>CAND100085</t>
  </si>
  <si>
    <t>CAND100086</t>
  </si>
  <si>
    <t>CAND100087</t>
  </si>
  <si>
    <t>CAND100088</t>
  </si>
  <si>
    <t>CAND100089</t>
  </si>
  <si>
    <t>CAND100090</t>
  </si>
  <si>
    <t>CAND100091</t>
  </si>
  <si>
    <t>CAND100092</t>
  </si>
  <si>
    <t>CAND100093</t>
  </si>
  <si>
    <t>CAND100094</t>
  </si>
  <si>
    <t>CAND100095</t>
  </si>
  <si>
    <t>CAND100096</t>
  </si>
  <si>
    <t>CAND100097</t>
  </si>
  <si>
    <t>CAND100098</t>
  </si>
  <si>
    <t>CAND100099</t>
  </si>
  <si>
    <t>CAND100100</t>
  </si>
  <si>
    <t>CAND100101</t>
  </si>
  <si>
    <t>CAND100102</t>
  </si>
  <si>
    <t>CAND100103</t>
  </si>
  <si>
    <t>CAND100104</t>
  </si>
  <si>
    <t>CAND100105</t>
  </si>
  <si>
    <t>CAND100106</t>
  </si>
  <si>
    <t>CAND100107</t>
  </si>
  <si>
    <t>CAND100108</t>
  </si>
  <si>
    <t>CAND100109</t>
  </si>
  <si>
    <t>CAND100110</t>
  </si>
  <si>
    <t>CAND100111</t>
  </si>
  <si>
    <t>CAND100112</t>
  </si>
  <si>
    <t>CAND100113</t>
  </si>
  <si>
    <t>CAND100114</t>
  </si>
  <si>
    <t>CAND100115</t>
  </si>
  <si>
    <t>CAND100116</t>
  </si>
  <si>
    <t>CAND100117</t>
  </si>
  <si>
    <t>CAND100118</t>
  </si>
  <si>
    <t>CAND100119</t>
  </si>
  <si>
    <t>CAND100120</t>
  </si>
  <si>
    <t>CAND100121</t>
  </si>
  <si>
    <t>CAND100122</t>
  </si>
  <si>
    <t>CAND100123</t>
  </si>
  <si>
    <t>CAND100124</t>
  </si>
  <si>
    <t>CAND100125</t>
  </si>
  <si>
    <t>CAND100126</t>
  </si>
  <si>
    <t>CAND100127</t>
  </si>
  <si>
    <t>CAND100128</t>
  </si>
  <si>
    <t>CAND100129</t>
  </si>
  <si>
    <t>CAND100130</t>
  </si>
  <si>
    <t>CAND100131</t>
  </si>
  <si>
    <t>CAND100132</t>
  </si>
  <si>
    <t>CAND100133</t>
  </si>
  <si>
    <t>CAND100134</t>
  </si>
  <si>
    <t>CAND100135</t>
  </si>
  <si>
    <t>CAND100136</t>
  </si>
  <si>
    <t>CAND100137</t>
  </si>
  <si>
    <t>CAND100138</t>
  </si>
  <si>
    <t>CAND100139</t>
  </si>
  <si>
    <t>CAND100140</t>
  </si>
  <si>
    <t>CAND100141</t>
  </si>
  <si>
    <t>CAND100142</t>
  </si>
  <si>
    <t>CAND100143</t>
  </si>
  <si>
    <t>CAND100144</t>
  </si>
  <si>
    <t>CAND100145</t>
  </si>
  <si>
    <t>CAND100146</t>
  </si>
  <si>
    <t>CAND100147</t>
  </si>
  <si>
    <t>CAND100148</t>
  </si>
  <si>
    <t>CAND100149</t>
  </si>
  <si>
    <t>CAND100150</t>
  </si>
  <si>
    <t>CAND100151</t>
  </si>
  <si>
    <t>CAND100152</t>
  </si>
  <si>
    <t>CAND100153</t>
  </si>
  <si>
    <t>CAND100154</t>
  </si>
  <si>
    <t>CAND100155</t>
  </si>
  <si>
    <t>CAND100156</t>
  </si>
  <si>
    <t>CAND100157</t>
  </si>
  <si>
    <t>CAND100158</t>
  </si>
  <si>
    <t>CAND100159</t>
  </si>
  <si>
    <t>CAND100160</t>
  </si>
  <si>
    <t>CAND100161</t>
  </si>
  <si>
    <t>CAND100162</t>
  </si>
  <si>
    <t>CAND100163</t>
  </si>
  <si>
    <t>CAND100164</t>
  </si>
  <si>
    <t>CAND100165</t>
  </si>
  <si>
    <t>CAND100166</t>
  </si>
  <si>
    <t>CAND100167</t>
  </si>
  <si>
    <t>CAND100168</t>
  </si>
  <si>
    <t>CAND100169</t>
  </si>
  <si>
    <t>CAND100170</t>
  </si>
  <si>
    <t>CAND100171</t>
  </si>
  <si>
    <t>CAND100172</t>
  </si>
  <si>
    <t>CAND100173</t>
  </si>
  <si>
    <t>CAND100174</t>
  </si>
  <si>
    <t>CAND100175</t>
  </si>
  <si>
    <t>CAND100176</t>
  </si>
  <si>
    <t>CAND100177</t>
  </si>
  <si>
    <t>CAND100178</t>
  </si>
  <si>
    <t>CAND100179</t>
  </si>
  <si>
    <t>CAND100180</t>
  </si>
  <si>
    <t>CAND100181</t>
  </si>
  <si>
    <t>CAND100182</t>
  </si>
  <si>
    <t>CAND100183</t>
  </si>
  <si>
    <t>CAND100184</t>
  </si>
  <si>
    <t>CAND100185</t>
  </si>
  <si>
    <t>CAND100186</t>
  </si>
  <si>
    <t>CAND100187</t>
  </si>
  <si>
    <t>CAND100188</t>
  </si>
  <si>
    <t>CAND100189</t>
  </si>
  <si>
    <t>CAND100190</t>
  </si>
  <si>
    <t>CAND100191</t>
  </si>
  <si>
    <t>CAND100192</t>
  </si>
  <si>
    <t>CAND100193</t>
  </si>
  <si>
    <t>CAND100194</t>
  </si>
  <si>
    <t>CAND100195</t>
  </si>
  <si>
    <t>CAND100196</t>
  </si>
  <si>
    <t>CAND100197</t>
  </si>
  <si>
    <t>CAND100198</t>
  </si>
  <si>
    <t>CAND100199</t>
  </si>
  <si>
    <t>CAND100200</t>
  </si>
  <si>
    <t>CAND100201</t>
  </si>
  <si>
    <t>CAND100202</t>
  </si>
  <si>
    <t>CAND100203</t>
  </si>
  <si>
    <t>CAND100204</t>
  </si>
  <si>
    <t>CAND100205</t>
  </si>
  <si>
    <t>CAND100206</t>
  </si>
  <si>
    <t>CAND100207</t>
  </si>
  <si>
    <t>CAND100208</t>
  </si>
  <si>
    <t>CAND100209</t>
  </si>
  <si>
    <t>CAND100210</t>
  </si>
  <si>
    <t>CAND100211</t>
  </si>
  <si>
    <t>CAND100212</t>
  </si>
  <si>
    <t>CAND100213</t>
  </si>
  <si>
    <t>CAND100214</t>
  </si>
  <si>
    <t>CAND100215</t>
  </si>
  <si>
    <t>CAND100216</t>
  </si>
  <si>
    <t>CAND100217</t>
  </si>
  <si>
    <t>CAND100218</t>
  </si>
  <si>
    <t>CAND100219</t>
  </si>
  <si>
    <t>CAND100220</t>
  </si>
  <si>
    <t>CAND100221</t>
  </si>
  <si>
    <t>CAND100222</t>
  </si>
  <si>
    <t>CAND100223</t>
  </si>
  <si>
    <t>CAND100224</t>
  </si>
  <si>
    <t>CAND100225</t>
  </si>
  <si>
    <t>CAND100226</t>
  </si>
  <si>
    <t>CAND100227</t>
  </si>
  <si>
    <t>CAND100228</t>
  </si>
  <si>
    <t>CAND100229</t>
  </si>
  <si>
    <t>CAND100230</t>
  </si>
  <si>
    <t>CAND100231</t>
  </si>
  <si>
    <t>CAND100232</t>
  </si>
  <si>
    <t>CAND100233</t>
  </si>
  <si>
    <t>CAND100234</t>
  </si>
  <si>
    <t>CAND100235</t>
  </si>
  <si>
    <t>CAND100236</t>
  </si>
  <si>
    <t>CAND100237</t>
  </si>
  <si>
    <t>CAND100238</t>
  </si>
  <si>
    <t>CAND100239</t>
  </si>
  <si>
    <t>CAND100240</t>
  </si>
  <si>
    <t>CAND100241</t>
  </si>
  <si>
    <t>CAND100242</t>
  </si>
  <si>
    <t>CAND100243</t>
  </si>
  <si>
    <t>CAND100244</t>
  </si>
  <si>
    <t>CAND100245</t>
  </si>
  <si>
    <t>CAND100246</t>
  </si>
  <si>
    <t>CAND100247</t>
  </si>
  <si>
    <t>CAND100248</t>
  </si>
  <si>
    <t>CAND100249</t>
  </si>
  <si>
    <t>CAND100250</t>
  </si>
  <si>
    <t>CAND100251</t>
  </si>
  <si>
    <t>CAND100252</t>
  </si>
  <si>
    <t>CAND100253</t>
  </si>
  <si>
    <t>CAND100254</t>
  </si>
  <si>
    <t>CAND100255</t>
  </si>
  <si>
    <t>CAND100256</t>
  </si>
  <si>
    <t>CAND100257</t>
  </si>
  <si>
    <t>CAND100258</t>
  </si>
  <si>
    <t>CAND100259</t>
  </si>
  <si>
    <t>CAND100260</t>
  </si>
  <si>
    <t>CAND100261</t>
  </si>
  <si>
    <t>CAND100262</t>
  </si>
  <si>
    <t>CAND100263</t>
  </si>
  <si>
    <t>CAND100264</t>
  </si>
  <si>
    <t>CAND100265</t>
  </si>
  <si>
    <t>CAND100266</t>
  </si>
  <si>
    <t>CAND100267</t>
  </si>
  <si>
    <t>CAND100268</t>
  </si>
  <si>
    <t>CAND100269</t>
  </si>
  <si>
    <t>CAND100270</t>
  </si>
  <si>
    <t>CAND100271</t>
  </si>
  <si>
    <t>CAND100272</t>
  </si>
  <si>
    <t>CAND100273</t>
  </si>
  <si>
    <t>CAND100274</t>
  </si>
  <si>
    <t>CAND100275</t>
  </si>
  <si>
    <t>CAND100276</t>
  </si>
  <si>
    <t>CAND100277</t>
  </si>
  <si>
    <t>CAND100278</t>
  </si>
  <si>
    <t>CAND100279</t>
  </si>
  <si>
    <t>CAND100280</t>
  </si>
  <si>
    <t>CAND100281</t>
  </si>
  <si>
    <t>CAND100282</t>
  </si>
  <si>
    <t>CAND100283</t>
  </si>
  <si>
    <t>CAND100284</t>
  </si>
  <si>
    <t>CAND100285</t>
  </si>
  <si>
    <t>CAND100286</t>
  </si>
  <si>
    <t>CAND100287</t>
  </si>
  <si>
    <t>CAND100288</t>
  </si>
  <si>
    <t>CAND100289</t>
  </si>
  <si>
    <t>CAND100290</t>
  </si>
  <si>
    <t>CAND100291</t>
  </si>
  <si>
    <t>CAND100292</t>
  </si>
  <si>
    <t>CAND100293</t>
  </si>
  <si>
    <t>CAND100294</t>
  </si>
  <si>
    <t>CAND100295</t>
  </si>
  <si>
    <t>CAND100296</t>
  </si>
  <si>
    <t>CAND100297</t>
  </si>
  <si>
    <t>CAND100298</t>
  </si>
  <si>
    <t>CAND100299</t>
  </si>
  <si>
    <t>CAND100300</t>
  </si>
  <si>
    <t>CAND100301</t>
  </si>
  <si>
    <t>CAND100302</t>
  </si>
  <si>
    <t>CAND100303</t>
  </si>
  <si>
    <t>CAND100304</t>
  </si>
  <si>
    <t>CAND100305</t>
  </si>
  <si>
    <t>CAND100306</t>
  </si>
  <si>
    <t>CAND100307</t>
  </si>
  <si>
    <t>CAND100308</t>
  </si>
  <si>
    <t>CAND100309</t>
  </si>
  <si>
    <t>CAND100310</t>
  </si>
  <si>
    <t>CAND100311</t>
  </si>
  <si>
    <t>CAND100312</t>
  </si>
  <si>
    <t>CAND100313</t>
  </si>
  <si>
    <t>CAND100314</t>
  </si>
  <si>
    <t>CAND100315</t>
  </si>
  <si>
    <t>CAND100316</t>
  </si>
  <si>
    <t>CAND100317</t>
  </si>
  <si>
    <t>CAND100318</t>
  </si>
  <si>
    <t>CAND100319</t>
  </si>
  <si>
    <t>CAND100320</t>
  </si>
  <si>
    <t>CAND100321</t>
  </si>
  <si>
    <t>CAND100322</t>
  </si>
  <si>
    <t>CAND100323</t>
  </si>
  <si>
    <t>CAND100324</t>
  </si>
  <si>
    <t>CAND100325</t>
  </si>
  <si>
    <t>CAND100326</t>
  </si>
  <si>
    <t>CAND100327</t>
  </si>
  <si>
    <t>CAND100328</t>
  </si>
  <si>
    <t>CAND100329</t>
  </si>
  <si>
    <t>CAND100330</t>
  </si>
  <si>
    <t>CAND100331</t>
  </si>
  <si>
    <t>CAND100332</t>
  </si>
  <si>
    <t>CAND100333</t>
  </si>
  <si>
    <t>CAND100334</t>
  </si>
  <si>
    <t>CAND100335</t>
  </si>
  <si>
    <t>CAND100336</t>
  </si>
  <si>
    <t>CAND100337</t>
  </si>
  <si>
    <t>CAND100338</t>
  </si>
  <si>
    <t>CAND100339</t>
  </si>
  <si>
    <t>CAND100340</t>
  </si>
  <si>
    <t>CAND100341</t>
  </si>
  <si>
    <t>CAND100342</t>
  </si>
  <si>
    <t>CAND100343</t>
  </si>
  <si>
    <t>CAND100344</t>
  </si>
  <si>
    <t>CAND100345</t>
  </si>
  <si>
    <t>CAND100346</t>
  </si>
  <si>
    <t>CAND100347</t>
  </si>
  <si>
    <t>CAND100348</t>
  </si>
  <si>
    <t>CAND100349</t>
  </si>
  <si>
    <t>CAND100350</t>
  </si>
  <si>
    <t>CAND100351</t>
  </si>
  <si>
    <t>CAND100352</t>
  </si>
  <si>
    <t>CAND100353</t>
  </si>
  <si>
    <t>CAND100354</t>
  </si>
  <si>
    <t>CAND100355</t>
  </si>
  <si>
    <t>CAND100356</t>
  </si>
  <si>
    <t>CAND100357</t>
  </si>
  <si>
    <t>CAND100358</t>
  </si>
  <si>
    <t>CAND100359</t>
  </si>
  <si>
    <t>CAND100360</t>
  </si>
  <si>
    <t>CAND100361</t>
  </si>
  <si>
    <t>CAND100362</t>
  </si>
  <si>
    <t>CAND100363</t>
  </si>
  <si>
    <t>CAND100364</t>
  </si>
  <si>
    <t>CAND100365</t>
  </si>
  <si>
    <t>CAND100366</t>
  </si>
  <si>
    <t>CAND100367</t>
  </si>
  <si>
    <t>CAND100368</t>
  </si>
  <si>
    <t>CAND100369</t>
  </si>
  <si>
    <t>CAND100370</t>
  </si>
  <si>
    <t>CAND100371</t>
  </si>
  <si>
    <t>CAND100372</t>
  </si>
  <si>
    <t>CAND100373</t>
  </si>
  <si>
    <t>CAND100374</t>
  </si>
  <si>
    <t>CAND100375</t>
  </si>
  <si>
    <t>CAND100376</t>
  </si>
  <si>
    <t>CAND100377</t>
  </si>
  <si>
    <t>CAND100378</t>
  </si>
  <si>
    <t>CAND100379</t>
  </si>
  <si>
    <t>CAND100380</t>
  </si>
  <si>
    <t>CAND100381</t>
  </si>
  <si>
    <t>CAND100382</t>
  </si>
  <si>
    <t>CAND100383</t>
  </si>
  <si>
    <t>CAND100384</t>
  </si>
  <si>
    <t>CAND100385</t>
  </si>
  <si>
    <t>CAND100386</t>
  </si>
  <si>
    <t>CAND100387</t>
  </si>
  <si>
    <t>CAND100388</t>
  </si>
  <si>
    <t>CAND100389</t>
  </si>
  <si>
    <t>CAND100390</t>
  </si>
  <si>
    <t>CAND100391</t>
  </si>
  <si>
    <t>CAND100392</t>
  </si>
  <si>
    <t>CAND100393</t>
  </si>
  <si>
    <t>CAND100394</t>
  </si>
  <si>
    <t>CAND100395</t>
  </si>
  <si>
    <t>CAND100396</t>
  </si>
  <si>
    <t>CAND100397</t>
  </si>
  <si>
    <t>CAND100398</t>
  </si>
  <si>
    <t>CAND100399</t>
  </si>
  <si>
    <t>CAND100400</t>
  </si>
  <si>
    <t>CAND100401</t>
  </si>
  <si>
    <t>CAND100402</t>
  </si>
  <si>
    <t>CAND100403</t>
  </si>
  <si>
    <t>CAND100404</t>
  </si>
  <si>
    <t>CAND100405</t>
  </si>
  <si>
    <t>CAND100406</t>
  </si>
  <si>
    <t>CAND100407</t>
  </si>
  <si>
    <t>CAND100408</t>
  </si>
  <si>
    <t>CAND100409</t>
  </si>
  <si>
    <t>CAND100410</t>
  </si>
  <si>
    <t>CAND100411</t>
  </si>
  <si>
    <t>CAND100412</t>
  </si>
  <si>
    <t>CAND100413</t>
  </si>
  <si>
    <t>CAND100414</t>
  </si>
  <si>
    <t>CAND100415</t>
  </si>
  <si>
    <t>CAND100416</t>
  </si>
  <si>
    <t>CAND100417</t>
  </si>
  <si>
    <t>CAND100418</t>
  </si>
  <si>
    <t>CAND100419</t>
  </si>
  <si>
    <t>CAND100420</t>
  </si>
  <si>
    <t>CAND100421</t>
  </si>
  <si>
    <t>CAND100422</t>
  </si>
  <si>
    <t>CAND100423</t>
  </si>
  <si>
    <t>CAND100424</t>
  </si>
  <si>
    <t>CAND100425</t>
  </si>
  <si>
    <t>CAND100426</t>
  </si>
  <si>
    <t>CAND100427</t>
  </si>
  <si>
    <t>CAND100428</t>
  </si>
  <si>
    <t>CAND100429</t>
  </si>
  <si>
    <t>CAND100430</t>
  </si>
  <si>
    <t>CAND100431</t>
  </si>
  <si>
    <t>CAND100432</t>
  </si>
  <si>
    <t>CAND100433</t>
  </si>
  <si>
    <t>CAND100434</t>
  </si>
  <si>
    <t>CAND100435</t>
  </si>
  <si>
    <t>CAND100436</t>
  </si>
  <si>
    <t>CAND100437</t>
  </si>
  <si>
    <t>CAND100438</t>
  </si>
  <si>
    <t>CAND100439</t>
  </si>
  <si>
    <t>CAND100440</t>
  </si>
  <si>
    <t>CAND100441</t>
  </si>
  <si>
    <t>CAND100442</t>
  </si>
  <si>
    <t>CAND100443</t>
  </si>
  <si>
    <t>CAND100444</t>
  </si>
  <si>
    <t>CAND100445</t>
  </si>
  <si>
    <t>CAND100446</t>
  </si>
  <si>
    <t>CAND100447</t>
  </si>
  <si>
    <t>CAND100448</t>
  </si>
  <si>
    <t>CAND100449</t>
  </si>
  <si>
    <t>CAND100450</t>
  </si>
  <si>
    <t>CAND100451</t>
  </si>
  <si>
    <t>CAND100452</t>
  </si>
  <si>
    <t>CAND100453</t>
  </si>
  <si>
    <t>CAND100454</t>
  </si>
  <si>
    <t>CAND100455</t>
  </si>
  <si>
    <t>CAND100456</t>
  </si>
  <si>
    <t>CAND100457</t>
  </si>
  <si>
    <t>CAND100458</t>
  </si>
  <si>
    <t>CAND100459</t>
  </si>
  <si>
    <t>CAND100460</t>
  </si>
  <si>
    <t>CAND100461</t>
  </si>
  <si>
    <t>CAND100462</t>
  </si>
  <si>
    <t>CAND100463</t>
  </si>
  <si>
    <t>CAND100464</t>
  </si>
  <si>
    <t>CAND100465</t>
  </si>
  <si>
    <t>CAND100466</t>
  </si>
  <si>
    <t>CAND100467</t>
  </si>
  <si>
    <t>CAND100468</t>
  </si>
  <si>
    <t>CAND100469</t>
  </si>
  <si>
    <t>CAND100470</t>
  </si>
  <si>
    <t>CAND100471</t>
  </si>
  <si>
    <t>CAND100472</t>
  </si>
  <si>
    <t>CAND100473</t>
  </si>
  <si>
    <t>CAND100474</t>
  </si>
  <si>
    <t>CAND100475</t>
  </si>
  <si>
    <t>CAND100476</t>
  </si>
  <si>
    <t>CAND100477</t>
  </si>
  <si>
    <t>CAND100478</t>
  </si>
  <si>
    <t>CAND100479</t>
  </si>
  <si>
    <t>CAND100480</t>
  </si>
  <si>
    <t>CAND100481</t>
  </si>
  <si>
    <t>CAND100482</t>
  </si>
  <si>
    <t>CAND100483</t>
  </si>
  <si>
    <t>CAND100484</t>
  </si>
  <si>
    <t>CAND100485</t>
  </si>
  <si>
    <t>CAND100486</t>
  </si>
  <si>
    <t>CAND100487</t>
  </si>
  <si>
    <t>CAND100488</t>
  </si>
  <si>
    <t>CAND100489</t>
  </si>
  <si>
    <t>CAND100490</t>
  </si>
  <si>
    <t>CAND100491</t>
  </si>
  <si>
    <t>CAND100492</t>
  </si>
  <si>
    <t>CAND100493</t>
  </si>
  <si>
    <t>CAND100494</t>
  </si>
  <si>
    <t>CAND100495</t>
  </si>
  <si>
    <t>CAND100496</t>
  </si>
  <si>
    <t>CAND100497</t>
  </si>
  <si>
    <t>CAND100498</t>
  </si>
  <si>
    <t>CAND100499</t>
  </si>
  <si>
    <t>CAND100500</t>
  </si>
  <si>
    <t>CAND100501</t>
  </si>
  <si>
    <t>CAND100502</t>
  </si>
  <si>
    <t>CAND100503</t>
  </si>
  <si>
    <t>CAND100504</t>
  </si>
  <si>
    <t>CAND100505</t>
  </si>
  <si>
    <t>CAND100506</t>
  </si>
  <si>
    <t>CAND100507</t>
  </si>
  <si>
    <t>CAND100508</t>
  </si>
  <si>
    <t>CAND100509</t>
  </si>
  <si>
    <t>CAND100510</t>
  </si>
  <si>
    <t>CAND100511</t>
  </si>
  <si>
    <t>CAND100512</t>
  </si>
  <si>
    <t>CAND100513</t>
  </si>
  <si>
    <t>CAND100514</t>
  </si>
  <si>
    <t>CAND100515</t>
  </si>
  <si>
    <t>CAND100516</t>
  </si>
  <si>
    <t>CAND100517</t>
  </si>
  <si>
    <t>CAND100518</t>
  </si>
  <si>
    <t>CAND100519</t>
  </si>
  <si>
    <t>CAND100520</t>
  </si>
  <si>
    <t>CAND100521</t>
  </si>
  <si>
    <t>CAND100522</t>
  </si>
  <si>
    <t>CAND100523</t>
  </si>
  <si>
    <t>CAND100524</t>
  </si>
  <si>
    <t>CAND100525</t>
  </si>
  <si>
    <t>CAND100526</t>
  </si>
  <si>
    <t>CAND100527</t>
  </si>
  <si>
    <t>CAND100528</t>
  </si>
  <si>
    <t>CAND100529</t>
  </si>
  <si>
    <t>CAND100530</t>
  </si>
  <si>
    <t>CAND100531</t>
  </si>
  <si>
    <t>CAND100532</t>
  </si>
  <si>
    <t>CAND100533</t>
  </si>
  <si>
    <t>CAND100534</t>
  </si>
  <si>
    <t>CAND100535</t>
  </si>
  <si>
    <t>CAND100536</t>
  </si>
  <si>
    <t>CAND100537</t>
  </si>
  <si>
    <t>CAND100538</t>
  </si>
  <si>
    <t>CAND100539</t>
  </si>
  <si>
    <t>CAND100540</t>
  </si>
  <si>
    <t>CAND100541</t>
  </si>
  <si>
    <t>CAND100542</t>
  </si>
  <si>
    <t>CAND100543</t>
  </si>
  <si>
    <t>CAND100544</t>
  </si>
  <si>
    <t>CAND100545</t>
  </si>
  <si>
    <t>CAND100546</t>
  </si>
  <si>
    <t>CAND100547</t>
  </si>
  <si>
    <t>CAND100548</t>
  </si>
  <si>
    <t>CAND100549</t>
  </si>
  <si>
    <t>CAND100550</t>
  </si>
  <si>
    <t>CAND100551</t>
  </si>
  <si>
    <t>CAND100552</t>
  </si>
  <si>
    <t>CAND100553</t>
  </si>
  <si>
    <t>CAND100554</t>
  </si>
  <si>
    <t>CAND100555</t>
  </si>
  <si>
    <t>CAND100556</t>
  </si>
  <si>
    <t>CAND100557</t>
  </si>
  <si>
    <t>CAND100558</t>
  </si>
  <si>
    <t>CAND100559</t>
  </si>
  <si>
    <t>CAND100560</t>
  </si>
  <si>
    <t>CAND100561</t>
  </si>
  <si>
    <t>CAND100562</t>
  </si>
  <si>
    <t>CAND100563</t>
  </si>
  <si>
    <t>CAND100564</t>
  </si>
  <si>
    <t>CAND100565</t>
  </si>
  <si>
    <t>CAND100566</t>
  </si>
  <si>
    <t>CAND100567</t>
  </si>
  <si>
    <t>CAND100568</t>
  </si>
  <si>
    <t>CAND100569</t>
  </si>
  <si>
    <t>CAND100570</t>
  </si>
  <si>
    <t>CAND100571</t>
  </si>
  <si>
    <t>CAND100572</t>
  </si>
  <si>
    <t>CAND100573</t>
  </si>
  <si>
    <t>CAND100574</t>
  </si>
  <si>
    <t>CAND100575</t>
  </si>
  <si>
    <t>CAND100576</t>
  </si>
  <si>
    <t>CAND100577</t>
  </si>
  <si>
    <t>CAND100578</t>
  </si>
  <si>
    <t>CAND100579</t>
  </si>
  <si>
    <t>CAND100580</t>
  </si>
  <si>
    <t>CAND100581</t>
  </si>
  <si>
    <t>CAND100582</t>
  </si>
  <si>
    <t>CAND100583</t>
  </si>
  <si>
    <t>CAND100584</t>
  </si>
  <si>
    <t>CAND100585</t>
  </si>
  <si>
    <t>CAND100586</t>
  </si>
  <si>
    <t>CAND100587</t>
  </si>
  <si>
    <t>CAND100588</t>
  </si>
  <si>
    <t>CAND100589</t>
  </si>
  <si>
    <t>CAND100590</t>
  </si>
  <si>
    <t>CAND100591</t>
  </si>
  <si>
    <t>CAND100592</t>
  </si>
  <si>
    <t>CAND100593</t>
  </si>
  <si>
    <t>CAND100594</t>
  </si>
  <si>
    <t>CAND100595</t>
  </si>
  <si>
    <t>CAND100596</t>
  </si>
  <si>
    <t>CAND100597</t>
  </si>
  <si>
    <t>CAND100598</t>
  </si>
  <si>
    <t>CAND100599</t>
  </si>
  <si>
    <t>CAND100600</t>
  </si>
  <si>
    <t>CAND100601</t>
  </si>
  <si>
    <t>CAND100602</t>
  </si>
  <si>
    <t>CAND100603</t>
  </si>
  <si>
    <t>CAND100604</t>
  </si>
  <si>
    <t>CAND100605</t>
  </si>
  <si>
    <t>CAND100606</t>
  </si>
  <si>
    <t>CAND100607</t>
  </si>
  <si>
    <t>CAND100608</t>
  </si>
  <si>
    <t>CAND100609</t>
  </si>
  <si>
    <t>CAND100610</t>
  </si>
  <si>
    <t>CAND100611</t>
  </si>
  <si>
    <t>CAND100612</t>
  </si>
  <si>
    <t>CAND100613</t>
  </si>
  <si>
    <t>CAND100614</t>
  </si>
  <si>
    <t>CAND100615</t>
  </si>
  <si>
    <t>CAND100616</t>
  </si>
  <si>
    <t>CAND100617</t>
  </si>
  <si>
    <t>CAND100618</t>
  </si>
  <si>
    <t>CAND100619</t>
  </si>
  <si>
    <t>CAND100620</t>
  </si>
  <si>
    <t>CAND100621</t>
  </si>
  <si>
    <t>CAND100622</t>
  </si>
  <si>
    <t>CAND100623</t>
  </si>
  <si>
    <t>CAND100624</t>
  </si>
  <si>
    <t>CAND100625</t>
  </si>
  <si>
    <t>CAND100626</t>
  </si>
  <si>
    <t>CAND100627</t>
  </si>
  <si>
    <t>CAND100628</t>
  </si>
  <si>
    <t>CAND100629</t>
  </si>
  <si>
    <t>CAND100630</t>
  </si>
  <si>
    <t>CAND100631</t>
  </si>
  <si>
    <t>CAND100632</t>
  </si>
  <si>
    <t>CAND100633</t>
  </si>
  <si>
    <t>CAND100634</t>
  </si>
  <si>
    <t>CAND100635</t>
  </si>
  <si>
    <t>CAND100636</t>
  </si>
  <si>
    <t>CAND100637</t>
  </si>
  <si>
    <t>CAND100638</t>
  </si>
  <si>
    <t>CAND100639</t>
  </si>
  <si>
    <t>CAND100640</t>
  </si>
  <si>
    <t>CAND100641</t>
  </si>
  <si>
    <t>CAND100642</t>
  </si>
  <si>
    <t>CAND100643</t>
  </si>
  <si>
    <t>CAND100644</t>
  </si>
  <si>
    <t>CAND100645</t>
  </si>
  <si>
    <t>CAND100646</t>
  </si>
  <si>
    <t>CAND100647</t>
  </si>
  <si>
    <t>CAND100648</t>
  </si>
  <si>
    <t>CAND100649</t>
  </si>
  <si>
    <t>CAND100650</t>
  </si>
  <si>
    <t>CAND100651</t>
  </si>
  <si>
    <t>CAND100652</t>
  </si>
  <si>
    <t>CAND100653</t>
  </si>
  <si>
    <t>CAND100654</t>
  </si>
  <si>
    <t>CAND100655</t>
  </si>
  <si>
    <t>CAND100656</t>
  </si>
  <si>
    <t>CAND100657</t>
  </si>
  <si>
    <t>CAND100658</t>
  </si>
  <si>
    <t>CAND100659</t>
  </si>
  <si>
    <t>CAND100660</t>
  </si>
  <si>
    <t>CAND100661</t>
  </si>
  <si>
    <t>CAND100662</t>
  </si>
  <si>
    <t>CAND100663</t>
  </si>
  <si>
    <t>CAND100664</t>
  </si>
  <si>
    <t>CAND100665</t>
  </si>
  <si>
    <t>CAND100666</t>
  </si>
  <si>
    <t>CAND100667</t>
  </si>
  <si>
    <t>CAND100668</t>
  </si>
  <si>
    <t>CAND100669</t>
  </si>
  <si>
    <t>CAND100670</t>
  </si>
  <si>
    <t>CAND100671</t>
  </si>
  <si>
    <t>CAND100672</t>
  </si>
  <si>
    <t>CAND100673</t>
  </si>
  <si>
    <t>CAND100674</t>
  </si>
  <si>
    <t>CAND100675</t>
  </si>
  <si>
    <t>CAND100676</t>
  </si>
  <si>
    <t>CAND100677</t>
  </si>
  <si>
    <t>CAND100678</t>
  </si>
  <si>
    <t>CAND100679</t>
  </si>
  <si>
    <t>CAND100680</t>
  </si>
  <si>
    <t>CAND100681</t>
  </si>
  <si>
    <t>CAND100682</t>
  </si>
  <si>
    <t>CAND100683</t>
  </si>
  <si>
    <t>CAND100684</t>
  </si>
  <si>
    <t>CAND100685</t>
  </si>
  <si>
    <t>CAND100686</t>
  </si>
  <si>
    <t>CAND100687</t>
  </si>
  <si>
    <t>CAND100688</t>
  </si>
  <si>
    <t>CAND100689</t>
  </si>
  <si>
    <t>CAND100690</t>
  </si>
  <si>
    <t>CAND100691</t>
  </si>
  <si>
    <t>CAND100692</t>
  </si>
  <si>
    <t>CAND100693</t>
  </si>
  <si>
    <t>CAND100694</t>
  </si>
  <si>
    <t>CAND100695</t>
  </si>
  <si>
    <t>CAND100696</t>
  </si>
  <si>
    <t>CAND100697</t>
  </si>
  <si>
    <t>CAND100698</t>
  </si>
  <si>
    <t>CAND100699</t>
  </si>
  <si>
    <t>CAND100700</t>
  </si>
  <si>
    <t>CAND100701</t>
  </si>
  <si>
    <t>CAND100702</t>
  </si>
  <si>
    <t>CAND100703</t>
  </si>
  <si>
    <t>CAND100704</t>
  </si>
  <si>
    <t>CAND100705</t>
  </si>
  <si>
    <t>CAND100706</t>
  </si>
  <si>
    <t>CAND100707</t>
  </si>
  <si>
    <t>CAND100708</t>
  </si>
  <si>
    <t>CAND100709</t>
  </si>
  <si>
    <t>CAND100710</t>
  </si>
  <si>
    <t>CAND100711</t>
  </si>
  <si>
    <t>CAND100712</t>
  </si>
  <si>
    <t>CAND100713</t>
  </si>
  <si>
    <t>CAND100714</t>
  </si>
  <si>
    <t>CAND100715</t>
  </si>
  <si>
    <t>CAND100716</t>
  </si>
  <si>
    <t>CAND100717</t>
  </si>
  <si>
    <t>CAND100718</t>
  </si>
  <si>
    <t>CAND100719</t>
  </si>
  <si>
    <t>CAND100720</t>
  </si>
  <si>
    <t>CAND100721</t>
  </si>
  <si>
    <t>CAND100722</t>
  </si>
  <si>
    <t>CAND100723</t>
  </si>
  <si>
    <t>CAND100724</t>
  </si>
  <si>
    <t>CAND100725</t>
  </si>
  <si>
    <t>CAND100726</t>
  </si>
  <si>
    <t>CAND100727</t>
  </si>
  <si>
    <t>CAND100728</t>
  </si>
  <si>
    <t>CAND100729</t>
  </si>
  <si>
    <t>CAND100730</t>
  </si>
  <si>
    <t>CAND100731</t>
  </si>
  <si>
    <t>CAND100732</t>
  </si>
  <si>
    <t>CAND100733</t>
  </si>
  <si>
    <t>CAND100734</t>
  </si>
  <si>
    <t>CAND100735</t>
  </si>
  <si>
    <t>CAND100736</t>
  </si>
  <si>
    <t>CAND100737</t>
  </si>
  <si>
    <t>CAND100738</t>
  </si>
  <si>
    <t>CAND100739</t>
  </si>
  <si>
    <t>CAND100740</t>
  </si>
  <si>
    <t>CAND100741</t>
  </si>
  <si>
    <t>CAND100742</t>
  </si>
  <si>
    <t>CAND100743</t>
  </si>
  <si>
    <t>CAND100744</t>
  </si>
  <si>
    <t>CAND100745</t>
  </si>
  <si>
    <t>CAND100746</t>
  </si>
  <si>
    <t>CAND100747</t>
  </si>
  <si>
    <t>CAND100748</t>
  </si>
  <si>
    <t>CAND100749</t>
  </si>
  <si>
    <t>CAND100750</t>
  </si>
  <si>
    <t>CAND100751</t>
  </si>
  <si>
    <t>CAND100752</t>
  </si>
  <si>
    <t>CAND100753</t>
  </si>
  <si>
    <t>CAND100754</t>
  </si>
  <si>
    <t>CAND100755</t>
  </si>
  <si>
    <t>CAND100756</t>
  </si>
  <si>
    <t>CAND100757</t>
  </si>
  <si>
    <t>CAND100758</t>
  </si>
  <si>
    <t>CAND100759</t>
  </si>
  <si>
    <t>CAND100760</t>
  </si>
  <si>
    <t>CAND100761</t>
  </si>
  <si>
    <t>CAND100762</t>
  </si>
  <si>
    <t>CAND100763</t>
  </si>
  <si>
    <t>CAND100764</t>
  </si>
  <si>
    <t>CAND100765</t>
  </si>
  <si>
    <t>CAND100766</t>
  </si>
  <si>
    <t>CAND100767</t>
  </si>
  <si>
    <t>CAND100768</t>
  </si>
  <si>
    <t>CAND100769</t>
  </si>
  <si>
    <t>CAND100770</t>
  </si>
  <si>
    <t>CAND100771</t>
  </si>
  <si>
    <t>CAND100772</t>
  </si>
  <si>
    <t>CAND100773</t>
  </si>
  <si>
    <t>CAND100774</t>
  </si>
  <si>
    <t>CAND100775</t>
  </si>
  <si>
    <t>CAND100776</t>
  </si>
  <si>
    <t>CAND100777</t>
  </si>
  <si>
    <t>CAND100778</t>
  </si>
  <si>
    <t>CAND100779</t>
  </si>
  <si>
    <t>CAND100780</t>
  </si>
  <si>
    <t>CAND100781</t>
  </si>
  <si>
    <t>CAND100782</t>
  </si>
  <si>
    <t>CAND100783</t>
  </si>
  <si>
    <t>CAND100784</t>
  </si>
  <si>
    <t>CAND100785</t>
  </si>
  <si>
    <t>CAND100786</t>
  </si>
  <si>
    <t>CAND100787</t>
  </si>
  <si>
    <t>CAND100788</t>
  </si>
  <si>
    <t>CAND100789</t>
  </si>
  <si>
    <t>CAND100790</t>
  </si>
  <si>
    <t>CAND100791</t>
  </si>
  <si>
    <t>CAND100792</t>
  </si>
  <si>
    <t>CAND100793</t>
  </si>
  <si>
    <t>CAND100794</t>
  </si>
  <si>
    <t>CAND100795</t>
  </si>
  <si>
    <t>CAND100796</t>
  </si>
  <si>
    <t>CAND100797</t>
  </si>
  <si>
    <t>CAND100798</t>
  </si>
  <si>
    <t>CAND100799</t>
  </si>
  <si>
    <t>CAND100800</t>
  </si>
  <si>
    <t>CAND100801</t>
  </si>
  <si>
    <t>CAND100802</t>
  </si>
  <si>
    <t>CAND100803</t>
  </si>
  <si>
    <t>CAND100804</t>
  </si>
  <si>
    <t>CAND100805</t>
  </si>
  <si>
    <t>CAND100806</t>
  </si>
  <si>
    <t>CAND100807</t>
  </si>
  <si>
    <t>CAND100808</t>
  </si>
  <si>
    <t>CAND100809</t>
  </si>
  <si>
    <t>CAND100810</t>
  </si>
  <si>
    <t>CAND100811</t>
  </si>
  <si>
    <t>CAND100812</t>
  </si>
  <si>
    <t>CAND100813</t>
  </si>
  <si>
    <t>CAND100814</t>
  </si>
  <si>
    <t>CAND100815</t>
  </si>
  <si>
    <t>CAND100816</t>
  </si>
  <si>
    <t>CAND100817</t>
  </si>
  <si>
    <t>CAND100818</t>
  </si>
  <si>
    <t>CAND100819</t>
  </si>
  <si>
    <t>CAND100820</t>
  </si>
  <si>
    <t>CAND100821</t>
  </si>
  <si>
    <t>CAND100822</t>
  </si>
  <si>
    <t>CAND100823</t>
  </si>
  <si>
    <t>CAND100824</t>
  </si>
  <si>
    <t>CAND100825</t>
  </si>
  <si>
    <t>CAND100826</t>
  </si>
  <si>
    <t>CAND100827</t>
  </si>
  <si>
    <t>CAND100828</t>
  </si>
  <si>
    <t>CAND100829</t>
  </si>
  <si>
    <t>CAND100830</t>
  </si>
  <si>
    <t>CAND100831</t>
  </si>
  <si>
    <t>CAND100832</t>
  </si>
  <si>
    <t>CAND100833</t>
  </si>
  <si>
    <t>CAND100834</t>
  </si>
  <si>
    <t>CAND100835</t>
  </si>
  <si>
    <t>CAND100836</t>
  </si>
  <si>
    <t>CAND100837</t>
  </si>
  <si>
    <t>CAND100838</t>
  </si>
  <si>
    <t>CAND100839</t>
  </si>
  <si>
    <t>CAND100840</t>
  </si>
  <si>
    <t>CAND100841</t>
  </si>
  <si>
    <t>CAND100842</t>
  </si>
  <si>
    <t>CAND100843</t>
  </si>
  <si>
    <t>CAND100844</t>
  </si>
  <si>
    <t>CAND100845</t>
  </si>
  <si>
    <t>CAND100846</t>
  </si>
  <si>
    <t>CAND100847</t>
  </si>
  <si>
    <t>CAND100848</t>
  </si>
  <si>
    <t>CAND100849</t>
  </si>
  <si>
    <t>CAND100850</t>
  </si>
  <si>
    <t>CAND100851</t>
  </si>
  <si>
    <t>CAND100852</t>
  </si>
  <si>
    <t>CAND100853</t>
  </si>
  <si>
    <t>CAND100854</t>
  </si>
  <si>
    <t>CAND100855</t>
  </si>
  <si>
    <t>CAND100856</t>
  </si>
  <si>
    <t>CAND100857</t>
  </si>
  <si>
    <t>CAND100858</t>
  </si>
  <si>
    <t>CAND100859</t>
  </si>
  <si>
    <t>CAND100860</t>
  </si>
  <si>
    <t>CAND100861</t>
  </si>
  <si>
    <t>CAND100862</t>
  </si>
  <si>
    <t>CAND100863</t>
  </si>
  <si>
    <t>CAND100864</t>
  </si>
  <si>
    <t>CAND100865</t>
  </si>
  <si>
    <t>CAND100866</t>
  </si>
  <si>
    <t>CAND100867</t>
  </si>
  <si>
    <t>CAND100868</t>
  </si>
  <si>
    <t>CAND100869</t>
  </si>
  <si>
    <t>CAND100870</t>
  </si>
  <si>
    <t>CAND100871</t>
  </si>
  <si>
    <t>CAND100872</t>
  </si>
  <si>
    <t>CAND100873</t>
  </si>
  <si>
    <t>CAND100874</t>
  </si>
  <si>
    <t>CAND100875</t>
  </si>
  <si>
    <t>CAND100876</t>
  </si>
  <si>
    <t>CAND100877</t>
  </si>
  <si>
    <t>CAND100878</t>
  </si>
  <si>
    <t>CAND100879</t>
  </si>
  <si>
    <t>CAND100880</t>
  </si>
  <si>
    <t>CAND100881</t>
  </si>
  <si>
    <t>CAND100882</t>
  </si>
  <si>
    <t>CAND100883</t>
  </si>
  <si>
    <t>CAND100884</t>
  </si>
  <si>
    <t>CAND100885</t>
  </si>
  <si>
    <t>CAND100886</t>
  </si>
  <si>
    <t>CAND100887</t>
  </si>
  <si>
    <t>CAND100888</t>
  </si>
  <si>
    <t>CAND100889</t>
  </si>
  <si>
    <t>CAND100890</t>
  </si>
  <si>
    <t>CAND100891</t>
  </si>
  <si>
    <t>CAND100892</t>
  </si>
  <si>
    <t>CAND100893</t>
  </si>
  <si>
    <t>CAND100894</t>
  </si>
  <si>
    <t>CAND100895</t>
  </si>
  <si>
    <t>CAND100896</t>
  </si>
  <si>
    <t>CAND100897</t>
  </si>
  <si>
    <t>CAND100898</t>
  </si>
  <si>
    <t>CAND100899</t>
  </si>
  <si>
    <t>CAND100900</t>
  </si>
  <si>
    <t>CAND100901</t>
  </si>
  <si>
    <t>CAND100902</t>
  </si>
  <si>
    <t>CAND100903</t>
  </si>
  <si>
    <t>CAND100904</t>
  </si>
  <si>
    <t>CAND100905</t>
  </si>
  <si>
    <t>CAND100906</t>
  </si>
  <si>
    <t>CAND100907</t>
  </si>
  <si>
    <t>CAND100908</t>
  </si>
  <si>
    <t>CAND100909</t>
  </si>
  <si>
    <t>CAND100910</t>
  </si>
  <si>
    <t>CAND100911</t>
  </si>
  <si>
    <t>CAND100912</t>
  </si>
  <si>
    <t>CAND100913</t>
  </si>
  <si>
    <t>CAND100914</t>
  </si>
  <si>
    <t>CAND100915</t>
  </si>
  <si>
    <t>CAND100916</t>
  </si>
  <si>
    <t>CAND100917</t>
  </si>
  <si>
    <t>CAND100918</t>
  </si>
  <si>
    <t>CAND100919</t>
  </si>
  <si>
    <t>CAND100920</t>
  </si>
  <si>
    <t>CAND100921</t>
  </si>
  <si>
    <t>CAND100922</t>
  </si>
  <si>
    <t>CAND100923</t>
  </si>
  <si>
    <t>CAND100924</t>
  </si>
  <si>
    <t>CAND100925</t>
  </si>
  <si>
    <t>CAND100926</t>
  </si>
  <si>
    <t>CAND100927</t>
  </si>
  <si>
    <t>CAND100928</t>
  </si>
  <si>
    <t>CAND100929</t>
  </si>
  <si>
    <t>CAND100930</t>
  </si>
  <si>
    <t>CAND100931</t>
  </si>
  <si>
    <t>CAND100932</t>
  </si>
  <si>
    <t>CAND100933</t>
  </si>
  <si>
    <t>CAND100934</t>
  </si>
  <si>
    <t>CAND100935</t>
  </si>
  <si>
    <t>CAND100936</t>
  </si>
  <si>
    <t>CAND100937</t>
  </si>
  <si>
    <t>CAND100938</t>
  </si>
  <si>
    <t>CAND100939</t>
  </si>
  <si>
    <t>CAND100940</t>
  </si>
  <si>
    <t>CAND100941</t>
  </si>
  <si>
    <t>CAND100942</t>
  </si>
  <si>
    <t>CAND100943</t>
  </si>
  <si>
    <t>CAND100944</t>
  </si>
  <si>
    <t>CAND100945</t>
  </si>
  <si>
    <t>CAND100946</t>
  </si>
  <si>
    <t>CAND100947</t>
  </si>
  <si>
    <t>CAND100948</t>
  </si>
  <si>
    <t>CAND100949</t>
  </si>
  <si>
    <t>CAND100950</t>
  </si>
  <si>
    <t>CAND100951</t>
  </si>
  <si>
    <t>CAND100952</t>
  </si>
  <si>
    <t>CAND100953</t>
  </si>
  <si>
    <t>CAND100954</t>
  </si>
  <si>
    <t>CAND100955</t>
  </si>
  <si>
    <t>CAND100956</t>
  </si>
  <si>
    <t>CAND100957</t>
  </si>
  <si>
    <t>CAND100958</t>
  </si>
  <si>
    <t>CAND100959</t>
  </si>
  <si>
    <t>CAND100960</t>
  </si>
  <si>
    <t>CAND100961</t>
  </si>
  <si>
    <t>CAND100962</t>
  </si>
  <si>
    <t>CAND100963</t>
  </si>
  <si>
    <t>CAND100964</t>
  </si>
  <si>
    <t>CAND100965</t>
  </si>
  <si>
    <t>CAND100966</t>
  </si>
  <si>
    <t>CAND100967</t>
  </si>
  <si>
    <t>CAND100968</t>
  </si>
  <si>
    <t>CAND100969</t>
  </si>
  <si>
    <t>CAND100970</t>
  </si>
  <si>
    <t>CAND100971</t>
  </si>
  <si>
    <t>CAND100972</t>
  </si>
  <si>
    <t>CAND100973</t>
  </si>
  <si>
    <t>CAND100974</t>
  </si>
  <si>
    <t>CAND100975</t>
  </si>
  <si>
    <t>CAND100976</t>
  </si>
  <si>
    <t>CAND100977</t>
  </si>
  <si>
    <t>CAND100978</t>
  </si>
  <si>
    <t>CAND100979</t>
  </si>
  <si>
    <t>CAND100980</t>
  </si>
  <si>
    <t>CAND100981</t>
  </si>
  <si>
    <t>CAND100982</t>
  </si>
  <si>
    <t>CAND100983</t>
  </si>
  <si>
    <t>CAND100984</t>
  </si>
  <si>
    <t>CAND100985</t>
  </si>
  <si>
    <t>CAND100986</t>
  </si>
  <si>
    <t>CAND100987</t>
  </si>
  <si>
    <t>CAND100988</t>
  </si>
  <si>
    <t>CAND100989</t>
  </si>
  <si>
    <t>CAND100990</t>
  </si>
  <si>
    <t>CAND100991</t>
  </si>
  <si>
    <t>CAND100992</t>
  </si>
  <si>
    <t>CAND100993</t>
  </si>
  <si>
    <t>CAND100994</t>
  </si>
  <si>
    <t>CAND100995</t>
  </si>
  <si>
    <t>CAND100996</t>
  </si>
  <si>
    <t>CAND100997</t>
  </si>
  <si>
    <t>CAND100998</t>
  </si>
  <si>
    <t>CAND100999</t>
  </si>
  <si>
    <t>Source Effectiveness</t>
  </si>
  <si>
    <t>Row Labels</t>
  </si>
  <si>
    <t>Grand Total</t>
  </si>
  <si>
    <t>Count of Candidate_ID</t>
  </si>
  <si>
    <t>Gender Diversity</t>
  </si>
  <si>
    <t>Selection Rate by Location</t>
  </si>
  <si>
    <t>TOTAL CANDIDATES</t>
  </si>
  <si>
    <t>TOTAL SELECTED</t>
  </si>
  <si>
    <t>Application → Interview → Offer Timeline</t>
  </si>
  <si>
    <t>Days_to_Interview</t>
  </si>
  <si>
    <t>Days_to_Offer</t>
  </si>
  <si>
    <t>AVG DAYS TO OFFER</t>
  </si>
  <si>
    <t>Candidates by Final Status</t>
  </si>
  <si>
    <t>KPI</t>
  </si>
  <si>
    <t>Application Trend Over Time</t>
  </si>
  <si>
    <t>2021</t>
  </si>
  <si>
    <t>2022</t>
  </si>
  <si>
    <t>2023</t>
  </si>
  <si>
    <t>2024</t>
  </si>
  <si>
    <t>AVG DAYS TO INERVIEW</t>
  </si>
  <si>
    <t>selection rate(%)</t>
  </si>
  <si>
    <t>average salary offered (selected)</t>
  </si>
  <si>
    <t>avg notice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</si>
</sst>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FF00"/>
      <name val="Calibri"/>
      <family val="2"/>
      <scheme val="minor"/>
    </font>
    <font>
      <sz val="22"/>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13" fillId="0" borderId="0" xfId="0" applyFont="1"/>
    <xf numFmtId="164" fontId="13" fillId="0" borderId="0" xfId="0" applyNumberFormat="1" applyFont="1"/>
    <xf numFmtId="2" fontId="13" fillId="0" borderId="0" xfId="0" applyNumberFormat="1" applyFont="1"/>
    <xf numFmtId="165" fontId="13" fillId="0" borderId="0" xfId="0" applyNumberFormat="1" applyFont="1"/>
    <xf numFmtId="0" fontId="19" fillId="34" borderId="0" xfId="0" applyFont="1" applyFill="1" applyAlignment="1">
      <alignment horizontal="center"/>
    </xf>
    <xf numFmtId="0" fontId="0" fillId="34" borderId="0" xfId="0"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1'!$C$4</c:f>
              <c:strCache>
                <c:ptCount val="1"/>
                <c:pt idx="0">
                  <c:v>Total</c:v>
                </c:pt>
              </c:strCache>
            </c:strRef>
          </c:tx>
          <c:spPr>
            <a:solidFill>
              <a:schemeClr val="accent1"/>
            </a:solidFill>
            <a:ln>
              <a:noFill/>
            </a:ln>
            <a:effectLst/>
          </c:spPr>
          <c:invertIfNegative val="0"/>
          <c:cat>
            <c:strRef>
              <c:f>'pivot tables 1'!$B$5:$B$11</c:f>
              <c:strCache>
                <c:ptCount val="6"/>
                <c:pt idx="0">
                  <c:v>Agency</c:v>
                </c:pt>
                <c:pt idx="1">
                  <c:v>Campus</c:v>
                </c:pt>
                <c:pt idx="2">
                  <c:v>Indeed</c:v>
                </c:pt>
                <c:pt idx="3">
                  <c:v>LinkedIn</c:v>
                </c:pt>
                <c:pt idx="4">
                  <c:v>Naukri</c:v>
                </c:pt>
                <c:pt idx="5">
                  <c:v>Referral</c:v>
                </c:pt>
              </c:strCache>
            </c:strRef>
          </c:cat>
          <c:val>
            <c:numRef>
              <c:f>'pivot tables 1'!$C$5:$C$11</c:f>
              <c:numCache>
                <c:formatCode>General</c:formatCode>
                <c:ptCount val="6"/>
                <c:pt idx="0">
                  <c:v>167</c:v>
                </c:pt>
                <c:pt idx="1">
                  <c:v>168</c:v>
                </c:pt>
                <c:pt idx="2">
                  <c:v>149</c:v>
                </c:pt>
                <c:pt idx="3">
                  <c:v>177</c:v>
                </c:pt>
                <c:pt idx="4">
                  <c:v>158</c:v>
                </c:pt>
                <c:pt idx="5">
                  <c:v>181</c:v>
                </c:pt>
              </c:numCache>
            </c:numRef>
          </c:val>
          <c:extLst>
            <c:ext xmlns:c16="http://schemas.microsoft.com/office/drawing/2014/chart" uri="{C3380CC4-5D6E-409C-BE32-E72D297353CC}">
              <c16:uniqueId val="{00000000-4976-4557-A59B-3149E9E48A39}"/>
            </c:ext>
          </c:extLst>
        </c:ser>
        <c:dLbls>
          <c:showLegendKey val="0"/>
          <c:showVal val="0"/>
          <c:showCatName val="0"/>
          <c:showSerName val="0"/>
          <c:showPercent val="0"/>
          <c:showBubbleSize val="0"/>
        </c:dLbls>
        <c:gapWidth val="219"/>
        <c:overlap val="-27"/>
        <c:axId val="1380587647"/>
        <c:axId val="1380602527"/>
      </c:barChart>
      <c:catAx>
        <c:axId val="138058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02527"/>
        <c:crosses val="autoZero"/>
        <c:auto val="1"/>
        <c:lblAlgn val="ctr"/>
        <c:lblOffset val="100"/>
        <c:noMultiLvlLbl val="0"/>
      </c:catAx>
      <c:valAx>
        <c:axId val="13806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 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 1'!$C$19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7-4519-9927-8B75D097A7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7-4519-9927-8B75D097A791}"/>
              </c:ext>
            </c:extLst>
          </c:dPt>
          <c:cat>
            <c:strRef>
              <c:f>'pivot tables 1'!$B$20:$B$22</c:f>
              <c:strCache>
                <c:ptCount val="2"/>
                <c:pt idx="0">
                  <c:v>Female</c:v>
                </c:pt>
                <c:pt idx="1">
                  <c:v>Male</c:v>
                </c:pt>
              </c:strCache>
            </c:strRef>
          </c:cat>
          <c:val>
            <c:numRef>
              <c:f>'pivot tables 1'!$C$20:$C$22</c:f>
              <c:numCache>
                <c:formatCode>General</c:formatCode>
                <c:ptCount val="2"/>
                <c:pt idx="0">
                  <c:v>497</c:v>
                </c:pt>
                <c:pt idx="1">
                  <c:v>503</c:v>
                </c:pt>
              </c:numCache>
            </c:numRef>
          </c:val>
          <c:extLst>
            <c:ext xmlns:c16="http://schemas.microsoft.com/office/drawing/2014/chart" uri="{C3380CC4-5D6E-409C-BE32-E72D297353CC}">
              <c16:uniqueId val="{00000000-2DEC-4632-A729-F556FC02F1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tables2!PivotTable4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tables2'!$C$6</c:f>
              <c:strCache>
                <c:ptCount val="1"/>
                <c:pt idx="0">
                  <c:v>Total</c:v>
                </c:pt>
              </c:strCache>
            </c:strRef>
          </c:tx>
          <c:spPr>
            <a:solidFill>
              <a:schemeClr val="accent1"/>
            </a:solidFill>
            <a:ln>
              <a:noFill/>
            </a:ln>
            <a:effectLst/>
          </c:spPr>
          <c:invertIfNegative val="0"/>
          <c:cat>
            <c:strRef>
              <c:f>'pivot tables2'!$B$7:$B$12</c:f>
              <c:strCache>
                <c:ptCount val="5"/>
                <c:pt idx="0">
                  <c:v>Bangalore</c:v>
                </c:pt>
                <c:pt idx="1">
                  <c:v>Delhi</c:v>
                </c:pt>
                <c:pt idx="2">
                  <c:v>Hyderabad</c:v>
                </c:pt>
                <c:pt idx="3">
                  <c:v>Mumbai</c:v>
                </c:pt>
                <c:pt idx="4">
                  <c:v>Pune</c:v>
                </c:pt>
              </c:strCache>
            </c:strRef>
          </c:cat>
          <c:val>
            <c:numRef>
              <c:f>'pivot tables2'!$C$7:$C$12</c:f>
              <c:numCache>
                <c:formatCode>General</c:formatCode>
                <c:ptCount val="5"/>
                <c:pt idx="0">
                  <c:v>47</c:v>
                </c:pt>
                <c:pt idx="1">
                  <c:v>52</c:v>
                </c:pt>
                <c:pt idx="2">
                  <c:v>42</c:v>
                </c:pt>
                <c:pt idx="3">
                  <c:v>60</c:v>
                </c:pt>
                <c:pt idx="4">
                  <c:v>55</c:v>
                </c:pt>
              </c:numCache>
            </c:numRef>
          </c:val>
          <c:extLst>
            <c:ext xmlns:c16="http://schemas.microsoft.com/office/drawing/2014/chart" uri="{C3380CC4-5D6E-409C-BE32-E72D297353CC}">
              <c16:uniqueId val="{00000000-A350-40AF-9928-D8B2C8F84E45}"/>
            </c:ext>
          </c:extLst>
        </c:ser>
        <c:dLbls>
          <c:showLegendKey val="0"/>
          <c:showVal val="0"/>
          <c:showCatName val="0"/>
          <c:showSerName val="0"/>
          <c:showPercent val="0"/>
          <c:showBubbleSize val="0"/>
        </c:dLbls>
        <c:gapWidth val="182"/>
        <c:axId val="1380603487"/>
        <c:axId val="1380601087"/>
      </c:barChart>
      <c:catAx>
        <c:axId val="138060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01087"/>
        <c:crosses val="autoZero"/>
        <c:auto val="1"/>
        <c:lblAlgn val="ctr"/>
        <c:lblOffset val="100"/>
        <c:noMultiLvlLbl val="0"/>
      </c:catAx>
      <c:valAx>
        <c:axId val="138060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tables2'!$C$17</c:f>
              <c:strCache>
                <c:ptCount val="1"/>
                <c:pt idx="0">
                  <c:v>Total</c:v>
                </c:pt>
              </c:strCache>
            </c:strRef>
          </c:tx>
          <c:spPr>
            <a:solidFill>
              <a:schemeClr val="accent1"/>
            </a:solidFill>
            <a:ln>
              <a:noFill/>
            </a:ln>
            <a:effectLst/>
          </c:spPr>
          <c:invertIfNegative val="0"/>
          <c:cat>
            <c:strRef>
              <c:f>'pivot tables2'!$B$18:$B$22</c:f>
              <c:strCache>
                <c:ptCount val="4"/>
                <c:pt idx="0">
                  <c:v>Offer Declined</c:v>
                </c:pt>
                <c:pt idx="1">
                  <c:v>Selected</c:v>
                </c:pt>
                <c:pt idx="2">
                  <c:v>Rejected</c:v>
                </c:pt>
                <c:pt idx="3">
                  <c:v>In Process</c:v>
                </c:pt>
              </c:strCache>
            </c:strRef>
          </c:cat>
          <c:val>
            <c:numRef>
              <c:f>'pivot tables2'!$C$18:$C$22</c:f>
              <c:numCache>
                <c:formatCode>General</c:formatCode>
                <c:ptCount val="4"/>
                <c:pt idx="0">
                  <c:v>262</c:v>
                </c:pt>
                <c:pt idx="1">
                  <c:v>256</c:v>
                </c:pt>
                <c:pt idx="2">
                  <c:v>251</c:v>
                </c:pt>
                <c:pt idx="3">
                  <c:v>231</c:v>
                </c:pt>
              </c:numCache>
            </c:numRef>
          </c:val>
          <c:extLst>
            <c:ext xmlns:c16="http://schemas.microsoft.com/office/drawing/2014/chart" uri="{C3380CC4-5D6E-409C-BE32-E72D297353CC}">
              <c16:uniqueId val="{00000000-A580-4660-833B-55C7B5880483}"/>
            </c:ext>
          </c:extLst>
        </c:ser>
        <c:dLbls>
          <c:showLegendKey val="0"/>
          <c:showVal val="0"/>
          <c:showCatName val="0"/>
          <c:showSerName val="0"/>
          <c:showPercent val="0"/>
          <c:showBubbleSize val="0"/>
        </c:dLbls>
        <c:gapWidth val="219"/>
        <c:overlap val="-27"/>
        <c:axId val="429014031"/>
        <c:axId val="429015471"/>
      </c:barChart>
      <c:catAx>
        <c:axId val="42901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15471"/>
        <c:crosses val="autoZero"/>
        <c:auto val="1"/>
        <c:lblAlgn val="ctr"/>
        <c:lblOffset val="100"/>
        <c:noMultiLvlLbl val="0"/>
      </c:catAx>
      <c:valAx>
        <c:axId val="42901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1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 KPINPIVOT!PivotTable6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KPINPIVOT'!$C$11</c:f>
              <c:strCache>
                <c:ptCount val="1"/>
                <c:pt idx="0">
                  <c:v>Total</c:v>
                </c:pt>
              </c:strCache>
            </c:strRef>
          </c:tx>
          <c:spPr>
            <a:ln w="28575" cap="rnd">
              <a:solidFill>
                <a:schemeClr val="accent1"/>
              </a:solidFill>
              <a:round/>
            </a:ln>
            <a:effectLst/>
          </c:spPr>
          <c:marker>
            <c:symbol val="none"/>
          </c:marker>
          <c:cat>
            <c:strRef>
              <c:f>' KPINPIVOT'!$B$12:$B$16</c:f>
              <c:strCache>
                <c:ptCount val="4"/>
                <c:pt idx="0">
                  <c:v>2021</c:v>
                </c:pt>
                <c:pt idx="1">
                  <c:v>2022</c:v>
                </c:pt>
                <c:pt idx="2">
                  <c:v>2023</c:v>
                </c:pt>
                <c:pt idx="3">
                  <c:v>2024</c:v>
                </c:pt>
              </c:strCache>
            </c:strRef>
          </c:cat>
          <c:val>
            <c:numRef>
              <c:f>' KPINPIVOT'!$C$12:$C$16</c:f>
              <c:numCache>
                <c:formatCode>General</c:formatCode>
                <c:ptCount val="4"/>
                <c:pt idx="0">
                  <c:v>305</c:v>
                </c:pt>
                <c:pt idx="1">
                  <c:v>311</c:v>
                </c:pt>
                <c:pt idx="2">
                  <c:v>294</c:v>
                </c:pt>
                <c:pt idx="3">
                  <c:v>90</c:v>
                </c:pt>
              </c:numCache>
            </c:numRef>
          </c:val>
          <c:smooth val="0"/>
          <c:extLst>
            <c:ext xmlns:c16="http://schemas.microsoft.com/office/drawing/2014/chart" uri="{C3380CC4-5D6E-409C-BE32-E72D297353CC}">
              <c16:uniqueId val="{00000000-3CF9-4DF4-8F8D-7816E73215D0}"/>
            </c:ext>
          </c:extLst>
        </c:ser>
        <c:dLbls>
          <c:showLegendKey val="0"/>
          <c:showVal val="0"/>
          <c:showCatName val="0"/>
          <c:showSerName val="0"/>
          <c:showPercent val="0"/>
          <c:showBubbleSize val="0"/>
        </c:dLbls>
        <c:smooth val="0"/>
        <c:axId val="618702543"/>
        <c:axId val="623696319"/>
      </c:lineChart>
      <c:catAx>
        <c:axId val="61870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696319"/>
        <c:crosses val="autoZero"/>
        <c:auto val="1"/>
        <c:lblAlgn val="ctr"/>
        <c:lblOffset val="100"/>
        <c:noMultiLvlLbl val="0"/>
      </c:catAx>
      <c:valAx>
        <c:axId val="62369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0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tables2!PivotTable4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SELECTION</a:t>
            </a:r>
            <a:r>
              <a:rPr lang="en-US" b="1" baseline="0">
                <a:solidFill>
                  <a:schemeClr val="bg1"/>
                </a:solidFill>
              </a:rPr>
              <a:t> BY LOCATION</a:t>
            </a:r>
            <a:endParaRPr lang="en-US" b="1">
              <a:solidFill>
                <a:schemeClr val="bg1"/>
              </a:solidFill>
            </a:endParaRPr>
          </a:p>
        </c:rich>
      </c:tx>
      <c:layout>
        <c:manualLayout>
          <c:xMode val="edge"/>
          <c:yMode val="edge"/>
          <c:x val="0.27923559812755366"/>
          <c:y val="4.23721544610845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tables2'!$C$6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tables2'!$B$7:$B$12</c:f>
              <c:strCache>
                <c:ptCount val="5"/>
                <c:pt idx="0">
                  <c:v>Bangalore</c:v>
                </c:pt>
                <c:pt idx="1">
                  <c:v>Delhi</c:v>
                </c:pt>
                <c:pt idx="2">
                  <c:v>Hyderabad</c:v>
                </c:pt>
                <c:pt idx="3">
                  <c:v>Mumbai</c:v>
                </c:pt>
                <c:pt idx="4">
                  <c:v>Pune</c:v>
                </c:pt>
              </c:strCache>
            </c:strRef>
          </c:cat>
          <c:val>
            <c:numRef>
              <c:f>'pivot tables2'!$C$7:$C$12</c:f>
              <c:numCache>
                <c:formatCode>General</c:formatCode>
                <c:ptCount val="5"/>
                <c:pt idx="0">
                  <c:v>47</c:v>
                </c:pt>
                <c:pt idx="1">
                  <c:v>52</c:v>
                </c:pt>
                <c:pt idx="2">
                  <c:v>42</c:v>
                </c:pt>
                <c:pt idx="3">
                  <c:v>60</c:v>
                </c:pt>
                <c:pt idx="4">
                  <c:v>55</c:v>
                </c:pt>
              </c:numCache>
            </c:numRef>
          </c:val>
          <c:extLst>
            <c:ext xmlns:c16="http://schemas.microsoft.com/office/drawing/2014/chart" uri="{C3380CC4-5D6E-409C-BE32-E72D297353CC}">
              <c16:uniqueId val="{00000000-A0E0-4258-969E-E8A34E1A5F31}"/>
            </c:ext>
          </c:extLst>
        </c:ser>
        <c:dLbls>
          <c:showLegendKey val="0"/>
          <c:showVal val="0"/>
          <c:showCatName val="0"/>
          <c:showSerName val="0"/>
          <c:showPercent val="0"/>
          <c:showBubbleSize val="0"/>
        </c:dLbls>
        <c:gapWidth val="182"/>
        <c:axId val="1380603487"/>
        <c:axId val="1380601087"/>
      </c:barChart>
      <c:catAx>
        <c:axId val="138060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80601087"/>
        <c:crosses val="autoZero"/>
        <c:auto val="1"/>
        <c:lblAlgn val="ctr"/>
        <c:lblOffset val="100"/>
        <c:noMultiLvlLbl val="0"/>
      </c:catAx>
      <c:valAx>
        <c:axId val="1380601087"/>
        <c:scaling>
          <c:orientation val="minMax"/>
        </c:scaling>
        <c:delete val="1"/>
        <c:axPos val="b"/>
        <c:numFmt formatCode="General" sourceLinked="1"/>
        <c:majorTickMark val="none"/>
        <c:minorTickMark val="none"/>
        <c:tickLblPos val="nextTo"/>
        <c:crossAx val="138060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 1!PivotTable1</c:name>
    <c:fmtId val="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 SOURCE EFFECTIVENESS</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C00000"/>
              </a:gs>
              <a:gs pos="52000">
                <a:srgbClr val="FF0000"/>
              </a:gs>
              <a:gs pos="83000">
                <a:srgbClr val="FF0000"/>
              </a:gs>
              <a:gs pos="28638">
                <a:srgbClr val="FF0000"/>
              </a:gs>
              <a:gs pos="100000">
                <a:srgbClr val="C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1'!$C$4</c:f>
              <c:strCache>
                <c:ptCount val="1"/>
                <c:pt idx="0">
                  <c:v>Total</c:v>
                </c:pt>
              </c:strCache>
            </c:strRef>
          </c:tx>
          <c:spPr>
            <a:gradFill>
              <a:gsLst>
                <a:gs pos="0">
                  <a:srgbClr val="C00000"/>
                </a:gs>
                <a:gs pos="52000">
                  <a:srgbClr val="FF0000"/>
                </a:gs>
                <a:gs pos="83000">
                  <a:srgbClr val="FF0000"/>
                </a:gs>
                <a:gs pos="28638">
                  <a:srgbClr val="FF0000"/>
                </a:gs>
                <a:gs pos="100000">
                  <a:srgbClr val="C0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1'!$B$5:$B$11</c:f>
              <c:strCache>
                <c:ptCount val="6"/>
                <c:pt idx="0">
                  <c:v>Agency</c:v>
                </c:pt>
                <c:pt idx="1">
                  <c:v>Campus</c:v>
                </c:pt>
                <c:pt idx="2">
                  <c:v>Indeed</c:v>
                </c:pt>
                <c:pt idx="3">
                  <c:v>LinkedIn</c:v>
                </c:pt>
                <c:pt idx="4">
                  <c:v>Naukri</c:v>
                </c:pt>
                <c:pt idx="5">
                  <c:v>Referral</c:v>
                </c:pt>
              </c:strCache>
            </c:strRef>
          </c:cat>
          <c:val>
            <c:numRef>
              <c:f>'pivot tables 1'!$C$5:$C$11</c:f>
              <c:numCache>
                <c:formatCode>General</c:formatCode>
                <c:ptCount val="6"/>
                <c:pt idx="0">
                  <c:v>167</c:v>
                </c:pt>
                <c:pt idx="1">
                  <c:v>168</c:v>
                </c:pt>
                <c:pt idx="2">
                  <c:v>149</c:v>
                </c:pt>
                <c:pt idx="3">
                  <c:v>177</c:v>
                </c:pt>
                <c:pt idx="4">
                  <c:v>158</c:v>
                </c:pt>
                <c:pt idx="5">
                  <c:v>181</c:v>
                </c:pt>
              </c:numCache>
            </c:numRef>
          </c:val>
          <c:extLst>
            <c:ext xmlns:c16="http://schemas.microsoft.com/office/drawing/2014/chart" uri="{C3380CC4-5D6E-409C-BE32-E72D297353CC}">
              <c16:uniqueId val="{00000000-D07F-4269-A826-4D3146AEC09E}"/>
            </c:ext>
          </c:extLst>
        </c:ser>
        <c:dLbls>
          <c:showLegendKey val="0"/>
          <c:showVal val="0"/>
          <c:showCatName val="0"/>
          <c:showSerName val="0"/>
          <c:showPercent val="0"/>
          <c:showBubbleSize val="0"/>
        </c:dLbls>
        <c:gapWidth val="219"/>
        <c:overlap val="-27"/>
        <c:axId val="1380587647"/>
        <c:axId val="1380602527"/>
      </c:barChart>
      <c:catAx>
        <c:axId val="138058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02527"/>
        <c:crosses val="autoZero"/>
        <c:auto val="1"/>
        <c:lblAlgn val="ctr"/>
        <c:lblOffset val="100"/>
        <c:noMultiLvlLbl val="0"/>
      </c:catAx>
      <c:valAx>
        <c:axId val="1380602527"/>
        <c:scaling>
          <c:orientation val="minMax"/>
        </c:scaling>
        <c:delete val="1"/>
        <c:axPos val="l"/>
        <c:numFmt formatCode="General" sourceLinked="1"/>
        <c:majorTickMark val="none"/>
        <c:minorTickMark val="none"/>
        <c:tickLblPos val="nextTo"/>
        <c:crossAx val="138058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 1!PivotTable2</c:name>
    <c:fmtId val="4"/>
  </c:pivotSource>
  <c:chart>
    <c:title>
      <c:tx>
        <c:rich>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r>
              <a:rPr lang="en-US" sz="800"/>
              <a:t> </a:t>
            </a:r>
            <a:r>
              <a:rPr lang="en-IN" sz="800" b="0" i="0" u="none" strike="noStrike" baseline="0">
                <a:effectLst/>
              </a:rPr>
              <a:t>Gender Diversity </a:t>
            </a:r>
            <a:endParaRPr lang="en-US" sz="800"/>
          </a:p>
        </c:rich>
      </c:tx>
      <c:layout>
        <c:manualLayout>
          <c:xMode val="edge"/>
          <c:yMode val="edge"/>
          <c:x val="0.19320638756789066"/>
          <c:y val="7.3629297719000578E-2"/>
        </c:manualLayout>
      </c:layout>
      <c:overlay val="0"/>
      <c:spPr>
        <a:noFill/>
        <a:ln>
          <a:noFill/>
        </a:ln>
        <a:effectLst/>
      </c:spPr>
      <c:txPr>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pivotFmt>
      <c:pivotFmt>
        <c:idx val="6"/>
        <c:spPr>
          <a:solidFill>
            <a:schemeClr val="accent2">
              <a:lumMod val="50000"/>
            </a:schemeClr>
          </a:solidFill>
          <a:ln w="19050">
            <a:solidFill>
              <a:schemeClr val="lt1"/>
            </a:solidFill>
          </a:ln>
          <a:effectLst/>
        </c:spPr>
      </c:pivotFmt>
    </c:pivotFmts>
    <c:plotArea>
      <c:layout>
        <c:manualLayout>
          <c:layoutTarget val="inner"/>
          <c:xMode val="edge"/>
          <c:yMode val="edge"/>
          <c:x val="4.6804218917079816E-2"/>
          <c:y val="0.21382738069343538"/>
          <c:w val="0.56266768737241168"/>
          <c:h val="0.67147083133945262"/>
        </c:manualLayout>
      </c:layout>
      <c:pieChart>
        <c:varyColors val="1"/>
        <c:ser>
          <c:idx val="0"/>
          <c:order val="0"/>
          <c:tx>
            <c:strRef>
              <c:f>'pivot tables 1'!$C$19</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E74A-46CD-8B41-6E3C38BE780D}"/>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E74A-46CD-8B41-6E3C38BE78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1'!$B$20:$B$22</c:f>
              <c:strCache>
                <c:ptCount val="2"/>
                <c:pt idx="0">
                  <c:v>Female</c:v>
                </c:pt>
                <c:pt idx="1">
                  <c:v>Male</c:v>
                </c:pt>
              </c:strCache>
            </c:strRef>
          </c:cat>
          <c:val>
            <c:numRef>
              <c:f>'pivot tables 1'!$C$20:$C$22</c:f>
              <c:numCache>
                <c:formatCode>General</c:formatCode>
                <c:ptCount val="2"/>
                <c:pt idx="0">
                  <c:v>497</c:v>
                </c:pt>
                <c:pt idx="1">
                  <c:v>503</c:v>
                </c:pt>
              </c:numCache>
            </c:numRef>
          </c:val>
          <c:extLst>
            <c:ext xmlns:c16="http://schemas.microsoft.com/office/drawing/2014/chart" uri="{C3380CC4-5D6E-409C-BE32-E72D297353CC}">
              <c16:uniqueId val="{00000004-E74A-46CD-8B41-6E3C38BE780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558143773694947"/>
          <c:y val="0.31991270428213048"/>
          <c:w val="0.35749854184893554"/>
          <c:h val="0.40281127833704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IMPORTANTLOVE.xlsx]pivot tables2!PivotTable5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 </a:t>
            </a:r>
            <a:r>
              <a:rPr lang="en-US" sz="1200" b="1"/>
              <a:t>CANDIDATES  BY FINAL </a:t>
            </a:r>
            <a:r>
              <a:rPr lang="en-US" sz="1200" b="1" baseline="0"/>
              <a:t>STATUS</a:t>
            </a:r>
            <a:endParaRPr lang="en-US" b="1"/>
          </a:p>
        </c:rich>
      </c:tx>
      <c:layout>
        <c:manualLayout>
          <c:xMode val="edge"/>
          <c:yMode val="edge"/>
          <c:x val="0.14536796371327368"/>
          <c:y val="1.15740740740740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5965">
                <a:schemeClr val="accent6">
                  <a:lumMod val="60000"/>
                  <a:lumOff val="40000"/>
                </a:schemeClr>
              </a:gs>
              <a:gs pos="17464">
                <a:srgbClr val="28B473"/>
              </a:gs>
              <a:gs pos="0">
                <a:srgbClr val="00B050"/>
              </a:gs>
              <a:gs pos="74000">
                <a:schemeClr val="accent4">
                  <a:lumMod val="60000"/>
                  <a:lumOff val="40000"/>
                </a:schemeClr>
              </a:gs>
              <a:gs pos="83000">
                <a:schemeClr val="accent4">
                  <a:lumMod val="50000"/>
                </a:schemeClr>
              </a:gs>
              <a:gs pos="100000">
                <a:srgbClr val="92D050"/>
              </a:gs>
            </a:gsLst>
            <a:lin ang="5400000" scaled="1"/>
          </a:gradFill>
          <a:ln>
            <a:gradFill>
              <a:gsLst>
                <a:gs pos="55965">
                  <a:srgbClr val="81BCC0"/>
                </a:gs>
                <a:gs pos="17464">
                  <a:srgbClr val="28B473"/>
                </a:gs>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5965">
                <a:schemeClr val="accent6">
                  <a:lumMod val="60000"/>
                  <a:lumOff val="40000"/>
                </a:schemeClr>
              </a:gs>
              <a:gs pos="17464">
                <a:srgbClr val="28B473"/>
              </a:gs>
              <a:gs pos="0">
                <a:srgbClr val="00B050"/>
              </a:gs>
              <a:gs pos="74000">
                <a:schemeClr val="accent4">
                  <a:lumMod val="60000"/>
                  <a:lumOff val="40000"/>
                </a:schemeClr>
              </a:gs>
              <a:gs pos="83000">
                <a:schemeClr val="accent4">
                  <a:lumMod val="50000"/>
                </a:schemeClr>
              </a:gs>
              <a:gs pos="100000">
                <a:srgbClr val="92D050"/>
              </a:gs>
            </a:gsLst>
            <a:lin ang="5400000" scaled="1"/>
          </a:gradFill>
          <a:ln>
            <a:gradFill>
              <a:gsLst>
                <a:gs pos="55965">
                  <a:srgbClr val="81BCC0"/>
                </a:gs>
                <a:gs pos="17464">
                  <a:srgbClr val="28B473"/>
                </a:gs>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4.4498381877022652E-2"/>
          <c:y val="0.15677083333333333"/>
          <c:w val="0.9110032362459547"/>
          <c:h val="0.70897993219597555"/>
        </c:manualLayout>
      </c:layout>
      <c:barChart>
        <c:barDir val="col"/>
        <c:grouping val="clustered"/>
        <c:varyColors val="0"/>
        <c:ser>
          <c:idx val="0"/>
          <c:order val="0"/>
          <c:tx>
            <c:strRef>
              <c:f>'pivot tables2'!$C$17</c:f>
              <c:strCache>
                <c:ptCount val="1"/>
                <c:pt idx="0">
                  <c:v>Total</c:v>
                </c:pt>
              </c:strCache>
            </c:strRef>
          </c:tx>
          <c:spPr>
            <a:gradFill>
              <a:gsLst>
                <a:gs pos="55965">
                  <a:schemeClr val="accent6">
                    <a:lumMod val="60000"/>
                    <a:lumOff val="40000"/>
                  </a:schemeClr>
                </a:gs>
                <a:gs pos="17464">
                  <a:srgbClr val="28B473"/>
                </a:gs>
                <a:gs pos="0">
                  <a:srgbClr val="00B050"/>
                </a:gs>
                <a:gs pos="74000">
                  <a:schemeClr val="accent4">
                    <a:lumMod val="60000"/>
                    <a:lumOff val="40000"/>
                  </a:schemeClr>
                </a:gs>
                <a:gs pos="83000">
                  <a:schemeClr val="accent4">
                    <a:lumMod val="50000"/>
                  </a:schemeClr>
                </a:gs>
                <a:gs pos="100000">
                  <a:srgbClr val="92D050"/>
                </a:gs>
              </a:gsLst>
              <a:lin ang="5400000" scaled="1"/>
            </a:gradFill>
            <a:ln>
              <a:gradFill>
                <a:gsLst>
                  <a:gs pos="55965">
                    <a:srgbClr val="81BCC0"/>
                  </a:gs>
                  <a:gs pos="17464">
                    <a:srgbClr val="28B473"/>
                  </a:gs>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1">
                    <a:lumMod val="95000"/>
                  </a:schemeClr>
                </a:solidFill>
                <a:prstDash val="sysDot"/>
              </a:ln>
              <a:effectLst/>
            </c:spPr>
            <c:trendlineType val="linear"/>
            <c:dispRSqr val="0"/>
            <c:dispEq val="0"/>
          </c:trendline>
          <c:cat>
            <c:strRef>
              <c:f>'pivot tables2'!$B$18:$B$22</c:f>
              <c:strCache>
                <c:ptCount val="4"/>
                <c:pt idx="0">
                  <c:v>Offer Declined</c:v>
                </c:pt>
                <c:pt idx="1">
                  <c:v>Selected</c:v>
                </c:pt>
                <c:pt idx="2">
                  <c:v>Rejected</c:v>
                </c:pt>
                <c:pt idx="3">
                  <c:v>In Process</c:v>
                </c:pt>
              </c:strCache>
            </c:strRef>
          </c:cat>
          <c:val>
            <c:numRef>
              <c:f>'pivot tables2'!$C$18:$C$22</c:f>
              <c:numCache>
                <c:formatCode>General</c:formatCode>
                <c:ptCount val="4"/>
                <c:pt idx="0">
                  <c:v>262</c:v>
                </c:pt>
                <c:pt idx="1">
                  <c:v>256</c:v>
                </c:pt>
                <c:pt idx="2">
                  <c:v>251</c:v>
                </c:pt>
                <c:pt idx="3">
                  <c:v>231</c:v>
                </c:pt>
              </c:numCache>
            </c:numRef>
          </c:val>
          <c:extLst>
            <c:ext xmlns:c16="http://schemas.microsoft.com/office/drawing/2014/chart" uri="{C3380CC4-5D6E-409C-BE32-E72D297353CC}">
              <c16:uniqueId val="{00000000-F7A4-4C85-9E97-75649E5DD1D1}"/>
            </c:ext>
          </c:extLst>
        </c:ser>
        <c:dLbls>
          <c:dLblPos val="outEnd"/>
          <c:showLegendKey val="0"/>
          <c:showVal val="1"/>
          <c:showCatName val="0"/>
          <c:showSerName val="0"/>
          <c:showPercent val="0"/>
          <c:showBubbleSize val="0"/>
        </c:dLbls>
        <c:gapWidth val="219"/>
        <c:overlap val="-27"/>
        <c:axId val="429014031"/>
        <c:axId val="429015471"/>
      </c:barChart>
      <c:catAx>
        <c:axId val="42901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9015471"/>
        <c:crosses val="autoZero"/>
        <c:auto val="1"/>
        <c:lblAlgn val="ctr"/>
        <c:lblOffset val="100"/>
        <c:noMultiLvlLbl val="0"/>
      </c:catAx>
      <c:valAx>
        <c:axId val="429015471"/>
        <c:scaling>
          <c:orientation val="minMax"/>
        </c:scaling>
        <c:delete val="1"/>
        <c:axPos val="l"/>
        <c:numFmt formatCode="General" sourceLinked="1"/>
        <c:majorTickMark val="none"/>
        <c:minorTickMark val="none"/>
        <c:tickLblPos val="nextTo"/>
        <c:crossAx val="429014031"/>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[Pre_Joining_Recruitment_Dataset EXCEL PROJECT IMPORTANTLOVE.xlsx] KPINPIVOT!PivotTable6</c:name>
    <c:fmtId val="14"/>
  </c:pivotSource>
  <c:chart>
    <c:title>
      <c:tx>
        <c:rich>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r>
              <a:rPr lang="en-IN" sz="1100" b="1">
                <a:solidFill>
                  <a:schemeClr val="tx1">
                    <a:lumMod val="95000"/>
                    <a:lumOff val="5000"/>
                  </a:schemeClr>
                </a:solidFill>
              </a:rPr>
              <a:t> </a:t>
            </a:r>
            <a:r>
              <a:rPr lang="en-IN" sz="1100" b="1" i="0" u="none" strike="noStrike" baseline="0">
                <a:solidFill>
                  <a:schemeClr val="tx1">
                    <a:lumMod val="95000"/>
                    <a:lumOff val="5000"/>
                  </a:schemeClr>
                </a:solidFill>
                <a:effectLst/>
              </a:rPr>
              <a:t>Application Trend Over Time </a:t>
            </a:r>
            <a:endParaRPr lang="en-IN" sz="1100" b="1">
              <a:solidFill>
                <a:schemeClr val="tx1">
                  <a:lumMod val="95000"/>
                  <a:lumOff val="5000"/>
                </a:schemeClr>
              </a:solidFill>
            </a:endParaRPr>
          </a:p>
        </c:rich>
      </c:tx>
      <c:layout>
        <c:manualLayout>
          <c:xMode val="edge"/>
          <c:yMode val="edge"/>
          <c:x val="0.17016807387028432"/>
          <c:y val="2.0449897750511249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none"/>
        </c:marker>
      </c:pivotFmt>
      <c:pivotFmt>
        <c:idx val="4"/>
        <c:spPr>
          <a:ln w="28575" cap="rnd">
            <a:solidFill>
              <a:srgbClr val="FF0000"/>
            </a:solidFill>
            <a:round/>
          </a:ln>
          <a:effectLst/>
        </c:spPr>
        <c:marker>
          <c:symbol val="none"/>
        </c:marker>
      </c:pivotFmt>
      <c:pivotFmt>
        <c:idx val="5"/>
        <c:spPr>
          <a:ln w="28575" cap="rnd">
            <a:solidFill>
              <a:schemeClr val="accent1">
                <a:lumMod val="75000"/>
              </a:schemeClr>
            </a:solidFill>
            <a:round/>
          </a:ln>
          <a:effectLst/>
        </c:spPr>
        <c:marker>
          <c:symbol val="none"/>
        </c:marker>
      </c:pivotFmt>
    </c:pivotFmts>
    <c:plotArea>
      <c:layout>
        <c:manualLayout>
          <c:layoutTarget val="inner"/>
          <c:xMode val="edge"/>
          <c:yMode val="edge"/>
          <c:x val="3.5140562248995984E-2"/>
          <c:y val="0.19519427402862982"/>
          <c:w val="0.91465863453815266"/>
          <c:h val="0.65666312416469419"/>
        </c:manualLayout>
      </c:layout>
      <c:lineChart>
        <c:grouping val="standard"/>
        <c:varyColors val="0"/>
        <c:ser>
          <c:idx val="0"/>
          <c:order val="0"/>
          <c:tx>
            <c:strRef>
              <c:f>' KPINPIVOT'!$C$11</c:f>
              <c:strCache>
                <c:ptCount val="1"/>
                <c:pt idx="0">
                  <c:v>Total</c:v>
                </c:pt>
              </c:strCache>
            </c:strRef>
          </c:tx>
          <c:spPr>
            <a:ln w="28575" cap="rnd">
              <a:solidFill>
                <a:srgbClr val="FFC000"/>
              </a:solidFill>
              <a:round/>
            </a:ln>
            <a:effectLst/>
          </c:spPr>
          <c:marker>
            <c:symbol val="none"/>
          </c:marker>
          <c:dPt>
            <c:idx val="1"/>
            <c:marker>
              <c:symbol val="none"/>
            </c:marker>
            <c:bubble3D val="0"/>
            <c:spPr>
              <a:ln w="28575" cap="rnd">
                <a:solidFill>
                  <a:schemeClr val="accent1">
                    <a:lumMod val="75000"/>
                  </a:schemeClr>
                </a:solidFill>
                <a:round/>
              </a:ln>
              <a:effectLst/>
            </c:spPr>
            <c:extLst>
              <c:ext xmlns:c16="http://schemas.microsoft.com/office/drawing/2014/chart" uri="{C3380CC4-5D6E-409C-BE32-E72D297353CC}">
                <c16:uniqueId val="{00000003-0674-4401-9D66-C18C724A8622}"/>
              </c:ext>
            </c:extLst>
          </c:dPt>
          <c:dPt>
            <c:idx val="2"/>
            <c:marker>
              <c:symbol val="none"/>
            </c:marker>
            <c:bubble3D val="0"/>
            <c:spPr>
              <a:ln w="28575" cap="rnd">
                <a:solidFill>
                  <a:schemeClr val="accent6">
                    <a:lumMod val="50000"/>
                  </a:schemeClr>
                </a:solidFill>
                <a:round/>
              </a:ln>
              <a:effectLst/>
            </c:spPr>
            <c:extLst>
              <c:ext xmlns:c16="http://schemas.microsoft.com/office/drawing/2014/chart" uri="{C3380CC4-5D6E-409C-BE32-E72D297353CC}">
                <c16:uniqueId val="{00000001-0674-4401-9D66-C18C724A8622}"/>
              </c:ext>
            </c:extLst>
          </c:dPt>
          <c:dPt>
            <c:idx val="3"/>
            <c:marker>
              <c:symbol val="none"/>
            </c:marker>
            <c:bubble3D val="0"/>
            <c:spPr>
              <a:ln w="28575" cap="rnd">
                <a:solidFill>
                  <a:srgbClr val="FF0000"/>
                </a:solidFill>
                <a:round/>
              </a:ln>
              <a:effectLst/>
            </c:spPr>
            <c:extLst>
              <c:ext xmlns:c16="http://schemas.microsoft.com/office/drawing/2014/chart" uri="{C3380CC4-5D6E-409C-BE32-E72D297353CC}">
                <c16:uniqueId val="{00000002-0674-4401-9D66-C18C724A86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KPINPIVOT'!$B$12:$B$16</c:f>
              <c:strCache>
                <c:ptCount val="4"/>
                <c:pt idx="0">
                  <c:v>2021</c:v>
                </c:pt>
                <c:pt idx="1">
                  <c:v>2022</c:v>
                </c:pt>
                <c:pt idx="2">
                  <c:v>2023</c:v>
                </c:pt>
                <c:pt idx="3">
                  <c:v>2024</c:v>
                </c:pt>
              </c:strCache>
            </c:strRef>
          </c:cat>
          <c:val>
            <c:numRef>
              <c:f>' KPINPIVOT'!$C$12:$C$16</c:f>
              <c:numCache>
                <c:formatCode>General</c:formatCode>
                <c:ptCount val="4"/>
                <c:pt idx="0">
                  <c:v>305</c:v>
                </c:pt>
                <c:pt idx="1">
                  <c:v>311</c:v>
                </c:pt>
                <c:pt idx="2">
                  <c:v>294</c:v>
                </c:pt>
                <c:pt idx="3">
                  <c:v>90</c:v>
                </c:pt>
              </c:numCache>
            </c:numRef>
          </c:val>
          <c:smooth val="0"/>
          <c:extLst>
            <c:ext xmlns:c16="http://schemas.microsoft.com/office/drawing/2014/chart" uri="{C3380CC4-5D6E-409C-BE32-E72D297353CC}">
              <c16:uniqueId val="{00000000-0674-4401-9D66-C18C724A8622}"/>
            </c:ext>
          </c:extLst>
        </c:ser>
        <c:dLbls>
          <c:dLblPos val="t"/>
          <c:showLegendKey val="0"/>
          <c:showVal val="1"/>
          <c:showCatName val="0"/>
          <c:showSerName val="0"/>
          <c:showPercent val="0"/>
          <c:showBubbleSize val="0"/>
        </c:dLbls>
        <c:smooth val="0"/>
        <c:axId val="618702543"/>
        <c:axId val="623696319"/>
      </c:lineChart>
      <c:catAx>
        <c:axId val="61870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23696319"/>
        <c:crosses val="autoZero"/>
        <c:auto val="1"/>
        <c:lblAlgn val="ctr"/>
        <c:lblOffset val="100"/>
        <c:noMultiLvlLbl val="0"/>
      </c:catAx>
      <c:valAx>
        <c:axId val="623696319"/>
        <c:scaling>
          <c:orientation val="minMax"/>
        </c:scaling>
        <c:delete val="1"/>
        <c:axPos val="l"/>
        <c:numFmt formatCode="General" sourceLinked="1"/>
        <c:majorTickMark val="none"/>
        <c:minorTickMark val="none"/>
        <c:tickLblPos val="nextTo"/>
        <c:crossAx val="61870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image" Target="../media/image8.png"/><Relationship Id="rId3" Type="http://schemas.openxmlformats.org/officeDocument/2006/relationships/image" Target="../media/image1.png"/><Relationship Id="rId7" Type="http://schemas.openxmlformats.org/officeDocument/2006/relationships/image" Target="../media/image4.emf"/><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emf"/><Relationship Id="rId11" Type="http://schemas.openxmlformats.org/officeDocument/2006/relationships/image" Target="../media/image6.png"/><Relationship Id="rId5" Type="http://schemas.openxmlformats.org/officeDocument/2006/relationships/chart" Target="../charts/chart8.xml"/><Relationship Id="rId10" Type="http://schemas.openxmlformats.org/officeDocument/2006/relationships/chart" Target="../charts/chart10.xml"/><Relationship Id="rId4" Type="http://schemas.openxmlformats.org/officeDocument/2006/relationships/image" Target="../media/image2.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30480</xdr:colOff>
      <xdr:row>0</xdr:row>
      <xdr:rowOff>0</xdr:rowOff>
    </xdr:from>
    <xdr:to>
      <xdr:col>9</xdr:col>
      <xdr:colOff>518160</xdr:colOff>
      <xdr:row>11</xdr:row>
      <xdr:rowOff>22860</xdr:rowOff>
    </xdr:to>
    <xdr:graphicFrame macro="">
      <xdr:nvGraphicFramePr>
        <xdr:cNvPr id="2" name="Chart 1">
          <a:extLst>
            <a:ext uri="{FF2B5EF4-FFF2-40B4-BE49-F238E27FC236}">
              <a16:creationId xmlns:a16="http://schemas.microsoft.com/office/drawing/2014/main" id="{E6AF2119-69A5-C1A6-BB89-110830098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11</xdr:row>
      <xdr:rowOff>41910</xdr:rowOff>
    </xdr:from>
    <xdr:to>
      <xdr:col>9</xdr:col>
      <xdr:colOff>441960</xdr:colOff>
      <xdr:row>26</xdr:row>
      <xdr:rowOff>41910</xdr:rowOff>
    </xdr:to>
    <xdr:graphicFrame macro="">
      <xdr:nvGraphicFramePr>
        <xdr:cNvPr id="4" name="Chart 3">
          <a:extLst>
            <a:ext uri="{FF2B5EF4-FFF2-40B4-BE49-F238E27FC236}">
              <a16:creationId xmlns:a16="http://schemas.microsoft.com/office/drawing/2014/main" id="{D72CF0AE-5183-763C-D4EB-F3F96FC0E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350520</xdr:colOff>
      <xdr:row>0</xdr:row>
      <xdr:rowOff>0</xdr:rowOff>
    </xdr:from>
    <xdr:to>
      <xdr:col>11</xdr:col>
      <xdr:colOff>45720</xdr:colOff>
      <xdr:row>9</xdr:row>
      <xdr:rowOff>83820</xdr:rowOff>
    </xdr:to>
    <xdr:graphicFrame macro="">
      <xdr:nvGraphicFramePr>
        <xdr:cNvPr id="2" name="Chart 1">
          <a:extLst>
            <a:ext uri="{FF2B5EF4-FFF2-40B4-BE49-F238E27FC236}">
              <a16:creationId xmlns:a16="http://schemas.microsoft.com/office/drawing/2014/main" id="{78C05A78-5694-5B2D-2559-F4E0AD981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502920</xdr:colOff>
      <xdr:row>4</xdr:row>
      <xdr:rowOff>106680</xdr:rowOff>
    </xdr:from>
    <xdr:to>
      <xdr:col>18</xdr:col>
      <xdr:colOff>502920</xdr:colOff>
      <xdr:row>10</xdr:row>
      <xdr:rowOff>66675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781200E-6230-9F99-DC45-95D6E53903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98480" y="838200"/>
              <a:ext cx="18288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502920</xdr:colOff>
      <xdr:row>9</xdr:row>
      <xdr:rowOff>160020</xdr:rowOff>
    </xdr:from>
    <xdr:to>
      <xdr:col>18</xdr:col>
      <xdr:colOff>502920</xdr:colOff>
      <xdr:row>19</xdr:row>
      <xdr:rowOff>53340</xdr:rowOff>
    </xdr:to>
    <mc:AlternateContent xmlns:mc="http://schemas.openxmlformats.org/markup-compatibility/2006" xmlns:a14="http://schemas.microsoft.com/office/drawing/2010/main">
      <mc:Choice Requires="a14">
        <xdr:graphicFrame macro="">
          <xdr:nvGraphicFramePr>
            <xdr:cNvPr id="4" name="Position">
              <a:extLst>
                <a:ext uri="{FF2B5EF4-FFF2-40B4-BE49-F238E27FC236}">
                  <a16:creationId xmlns:a16="http://schemas.microsoft.com/office/drawing/2014/main" id="{7BE194DB-A543-C6FB-454A-B08661DCAA02}"/>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0698480" y="1805940"/>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525780</xdr:colOff>
      <xdr:row>4</xdr:row>
      <xdr:rowOff>106680</xdr:rowOff>
    </xdr:from>
    <xdr:to>
      <xdr:col>21</xdr:col>
      <xdr:colOff>525780</xdr:colOff>
      <xdr:row>14</xdr:row>
      <xdr:rowOff>38100</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32524D90-7AF0-6491-E180-97D5673C931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550140" y="838200"/>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4</xdr:row>
      <xdr:rowOff>106680</xdr:rowOff>
    </xdr:from>
    <xdr:to>
      <xdr:col>15</xdr:col>
      <xdr:colOff>457200</xdr:colOff>
      <xdr:row>14</xdr:row>
      <xdr:rowOff>30480</xdr:rowOff>
    </xdr:to>
    <mc:AlternateContent xmlns:mc="http://schemas.openxmlformats.org/markup-compatibility/2006" xmlns:a14="http://schemas.microsoft.com/office/drawing/2010/main">
      <mc:Choice Requires="a14">
        <xdr:graphicFrame macro="">
          <xdr:nvGraphicFramePr>
            <xdr:cNvPr id="6" name="Experience_Years">
              <a:extLst>
                <a:ext uri="{FF2B5EF4-FFF2-40B4-BE49-F238E27FC236}">
                  <a16:creationId xmlns:a16="http://schemas.microsoft.com/office/drawing/2014/main" id="{0714229B-5053-CBCA-2A56-670AF917B03D}"/>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mlns="">
        <xdr:sp macro="" textlink="">
          <xdr:nvSpPr>
            <xdr:cNvPr id="0" name=""/>
            <xdr:cNvSpPr>
              <a:spLocks noTextEdit="1"/>
            </xdr:cNvSpPr>
          </xdr:nvSpPr>
          <xdr:spPr>
            <a:xfrm>
              <a:off x="8823960" y="83820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10</xdr:row>
      <xdr:rowOff>106680</xdr:rowOff>
    </xdr:from>
    <xdr:to>
      <xdr:col>9</xdr:col>
      <xdr:colOff>320040</xdr:colOff>
      <xdr:row>23</xdr:row>
      <xdr:rowOff>114300</xdr:rowOff>
    </xdr:to>
    <xdr:graphicFrame macro="">
      <xdr:nvGraphicFramePr>
        <xdr:cNvPr id="7" name="Chart 6">
          <a:extLst>
            <a:ext uri="{FF2B5EF4-FFF2-40B4-BE49-F238E27FC236}">
              <a16:creationId xmlns:a16="http://schemas.microsoft.com/office/drawing/2014/main" id="{7BA9F4F6-7AFF-D065-4BD9-D65C56016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7</xdr:row>
      <xdr:rowOff>3810</xdr:rowOff>
    </xdr:from>
    <xdr:to>
      <xdr:col>7</xdr:col>
      <xdr:colOff>365760</xdr:colOff>
      <xdr:row>22</xdr:row>
      <xdr:rowOff>3810</xdr:rowOff>
    </xdr:to>
    <xdr:graphicFrame macro="">
      <xdr:nvGraphicFramePr>
        <xdr:cNvPr id="2" name="Chart 1">
          <a:extLst>
            <a:ext uri="{FF2B5EF4-FFF2-40B4-BE49-F238E27FC236}">
              <a16:creationId xmlns:a16="http://schemas.microsoft.com/office/drawing/2014/main" id="{55EAEB1B-A959-6309-FC96-B0424981F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281940</xdr:colOff>
      <xdr:row>20</xdr:row>
      <xdr:rowOff>45720</xdr:rowOff>
    </xdr:from>
    <xdr:ext cx="184731" cy="264560"/>
    <xdr:sp macro="" textlink="">
      <xdr:nvSpPr>
        <xdr:cNvPr id="3" name="TextBox 2">
          <a:extLst>
            <a:ext uri="{FF2B5EF4-FFF2-40B4-BE49-F238E27FC236}">
              <a16:creationId xmlns:a16="http://schemas.microsoft.com/office/drawing/2014/main" id="{4DA15A57-221E-CAD4-831F-E566AD73C39C}"/>
            </a:ext>
          </a:extLst>
        </xdr:cNvPr>
        <xdr:cNvSpPr txBox="1"/>
      </xdr:nvSpPr>
      <xdr:spPr>
        <a:xfrm>
          <a:off x="8153400" y="3703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68580</xdr:rowOff>
    </xdr:from>
    <xdr:to>
      <xdr:col>5</xdr:col>
      <xdr:colOff>266700</xdr:colOff>
      <xdr:row>15</xdr:row>
      <xdr:rowOff>167640</xdr:rowOff>
    </xdr:to>
    <xdr:sp macro="" textlink="">
      <xdr:nvSpPr>
        <xdr:cNvPr id="2" name="Rectangle: Rounded Corners 1">
          <a:extLst>
            <a:ext uri="{FF2B5EF4-FFF2-40B4-BE49-F238E27FC236}">
              <a16:creationId xmlns:a16="http://schemas.microsoft.com/office/drawing/2014/main" id="{AF574F17-EF3E-9A00-98C4-5C54160CA2E9}"/>
            </a:ext>
          </a:extLst>
        </xdr:cNvPr>
        <xdr:cNvSpPr/>
      </xdr:nvSpPr>
      <xdr:spPr>
        <a:xfrm>
          <a:off x="0" y="1531620"/>
          <a:ext cx="3314700" cy="1379220"/>
        </a:xfrm>
        <a:prstGeom prst="roundRect">
          <a:avLst/>
        </a:prstGeom>
        <a:ln>
          <a:solidFill>
            <a:srgbClr val="FFC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281940</xdr:colOff>
      <xdr:row>12</xdr:row>
      <xdr:rowOff>15240</xdr:rowOff>
    </xdr:from>
    <xdr:to>
      <xdr:col>11</xdr:col>
      <xdr:colOff>45720</xdr:colOff>
      <xdr:row>25</xdr:row>
      <xdr:rowOff>68580</xdr:rowOff>
    </xdr:to>
    <xdr:sp macro="" textlink="">
      <xdr:nvSpPr>
        <xdr:cNvPr id="3" name="Rectangle: Rounded Corners 2">
          <a:extLst>
            <a:ext uri="{FF2B5EF4-FFF2-40B4-BE49-F238E27FC236}">
              <a16:creationId xmlns:a16="http://schemas.microsoft.com/office/drawing/2014/main" id="{06F93FEA-8309-B10E-B321-08ED1ED2BFAA}"/>
            </a:ext>
          </a:extLst>
        </xdr:cNvPr>
        <xdr:cNvSpPr/>
      </xdr:nvSpPr>
      <xdr:spPr>
        <a:xfrm>
          <a:off x="3329940" y="2209800"/>
          <a:ext cx="3421380" cy="2430780"/>
        </a:xfrm>
        <a:prstGeom prst="roundRect">
          <a:avLst/>
        </a:prstGeom>
        <a:ln w="57150">
          <a:solidFill>
            <a:srgbClr val="FFC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220980</xdr:colOff>
      <xdr:row>14</xdr:row>
      <xdr:rowOff>15240</xdr:rowOff>
    </xdr:from>
    <xdr:to>
      <xdr:col>23</xdr:col>
      <xdr:colOff>30480</xdr:colOff>
      <xdr:row>25</xdr:row>
      <xdr:rowOff>53340</xdr:rowOff>
    </xdr:to>
    <xdr:sp macro="" textlink="">
      <xdr:nvSpPr>
        <xdr:cNvPr id="4" name="Rectangle: Rounded Corners 3">
          <a:extLst>
            <a:ext uri="{FF2B5EF4-FFF2-40B4-BE49-F238E27FC236}">
              <a16:creationId xmlns:a16="http://schemas.microsoft.com/office/drawing/2014/main" id="{796CD0C0-53B8-C47A-F3DB-93E57A0512E9}"/>
            </a:ext>
          </a:extLst>
        </xdr:cNvPr>
        <xdr:cNvSpPr/>
      </xdr:nvSpPr>
      <xdr:spPr>
        <a:xfrm>
          <a:off x="10584180" y="2575560"/>
          <a:ext cx="3467100" cy="2049780"/>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464820</xdr:colOff>
      <xdr:row>0</xdr:row>
      <xdr:rowOff>38100</xdr:rowOff>
    </xdr:from>
    <xdr:to>
      <xdr:col>23</xdr:col>
      <xdr:colOff>53340</xdr:colOff>
      <xdr:row>13</xdr:row>
      <xdr:rowOff>114300</xdr:rowOff>
    </xdr:to>
    <xdr:sp macro="" textlink="">
      <xdr:nvSpPr>
        <xdr:cNvPr id="5" name="Rectangle 4">
          <a:extLst>
            <a:ext uri="{FF2B5EF4-FFF2-40B4-BE49-F238E27FC236}">
              <a16:creationId xmlns:a16="http://schemas.microsoft.com/office/drawing/2014/main" id="{5C68EDF2-7D4C-083A-E469-B017064787D5}"/>
            </a:ext>
          </a:extLst>
        </xdr:cNvPr>
        <xdr:cNvSpPr/>
      </xdr:nvSpPr>
      <xdr:spPr>
        <a:xfrm>
          <a:off x="10218420" y="38100"/>
          <a:ext cx="3855720" cy="2453640"/>
        </a:xfrm>
        <a:prstGeom prst="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358140</xdr:colOff>
      <xdr:row>0</xdr:row>
      <xdr:rowOff>45720</xdr:rowOff>
    </xdr:from>
    <xdr:to>
      <xdr:col>16</xdr:col>
      <xdr:colOff>388620</xdr:colOff>
      <xdr:row>6</xdr:row>
      <xdr:rowOff>0</xdr:rowOff>
    </xdr:to>
    <xdr:sp macro="" textlink="">
      <xdr:nvSpPr>
        <xdr:cNvPr id="6" name="Rectangle 5">
          <a:extLst>
            <a:ext uri="{FF2B5EF4-FFF2-40B4-BE49-F238E27FC236}">
              <a16:creationId xmlns:a16="http://schemas.microsoft.com/office/drawing/2014/main" id="{E75EE517-F209-1514-7B2E-D773C653146C}"/>
            </a:ext>
          </a:extLst>
        </xdr:cNvPr>
        <xdr:cNvSpPr/>
      </xdr:nvSpPr>
      <xdr:spPr>
        <a:xfrm>
          <a:off x="3406140" y="45720"/>
          <a:ext cx="6736080" cy="1051560"/>
        </a:xfrm>
        <a:prstGeom prst="rect">
          <a:avLst/>
        </a:prstGeom>
        <a:solidFill>
          <a:schemeClr val="accent2">
            <a:lumMod val="20000"/>
            <a:lumOff val="80000"/>
          </a:schemeClr>
        </a:solidFill>
        <a:ln w="38100">
          <a:solidFill>
            <a:srgbClr val="FFC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accent6">
                <a:lumMod val="60000"/>
                <a:lumOff val="40000"/>
              </a:schemeClr>
            </a:solidFill>
          </a:endParaRPr>
        </a:p>
      </xdr:txBody>
    </xdr:sp>
    <xdr:clientData/>
  </xdr:twoCellAnchor>
  <xdr:twoCellAnchor>
    <xdr:from>
      <xdr:col>0</xdr:col>
      <xdr:colOff>53340</xdr:colOff>
      <xdr:row>16</xdr:row>
      <xdr:rowOff>15240</xdr:rowOff>
    </xdr:from>
    <xdr:to>
      <xdr:col>5</xdr:col>
      <xdr:colOff>251460</xdr:colOff>
      <xdr:row>25</xdr:row>
      <xdr:rowOff>91440</xdr:rowOff>
    </xdr:to>
    <xdr:sp macro="" textlink="">
      <xdr:nvSpPr>
        <xdr:cNvPr id="8" name="Rectangle: Rounded Corners 7">
          <a:extLst>
            <a:ext uri="{FF2B5EF4-FFF2-40B4-BE49-F238E27FC236}">
              <a16:creationId xmlns:a16="http://schemas.microsoft.com/office/drawing/2014/main" id="{928595B6-A7CE-60EB-2145-3E9B27C47E26}"/>
            </a:ext>
          </a:extLst>
        </xdr:cNvPr>
        <xdr:cNvSpPr/>
      </xdr:nvSpPr>
      <xdr:spPr>
        <a:xfrm>
          <a:off x="53340" y="2941320"/>
          <a:ext cx="3246120" cy="1722120"/>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358140</xdr:colOff>
      <xdr:row>6</xdr:row>
      <xdr:rowOff>22860</xdr:rowOff>
    </xdr:from>
    <xdr:to>
      <xdr:col>10</xdr:col>
      <xdr:colOff>571500</xdr:colOff>
      <xdr:row>11</xdr:row>
      <xdr:rowOff>175260</xdr:rowOff>
    </xdr:to>
    <xdr:sp macro="" textlink="">
      <xdr:nvSpPr>
        <xdr:cNvPr id="9" name="Rectangle 8">
          <a:extLst>
            <a:ext uri="{FF2B5EF4-FFF2-40B4-BE49-F238E27FC236}">
              <a16:creationId xmlns:a16="http://schemas.microsoft.com/office/drawing/2014/main" id="{538D5B4D-94C6-FC86-A922-2BA03877EBF6}"/>
            </a:ext>
          </a:extLst>
        </xdr:cNvPr>
        <xdr:cNvSpPr/>
      </xdr:nvSpPr>
      <xdr:spPr>
        <a:xfrm>
          <a:off x="3406140" y="1120140"/>
          <a:ext cx="3261360" cy="1066800"/>
        </a:xfrm>
        <a:prstGeom prst="rect">
          <a:avLst/>
        </a:prstGeom>
        <a:solidFill>
          <a:schemeClr val="bg1">
            <a:lumMod val="65000"/>
          </a:schemeClr>
        </a:solidFill>
        <a:ln>
          <a:solidFill>
            <a:srgbClr val="FFC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lumMod val="75000"/>
              </a:schemeClr>
            </a:solidFill>
          </a:endParaRPr>
        </a:p>
      </xdr:txBody>
    </xdr:sp>
    <xdr:clientData/>
  </xdr:twoCellAnchor>
  <xdr:twoCellAnchor>
    <xdr:from>
      <xdr:col>0</xdr:col>
      <xdr:colOff>0</xdr:colOff>
      <xdr:row>0</xdr:row>
      <xdr:rowOff>53340</xdr:rowOff>
    </xdr:from>
    <xdr:to>
      <xdr:col>5</xdr:col>
      <xdr:colOff>335280</xdr:colOff>
      <xdr:row>8</xdr:row>
      <xdr:rowOff>38100</xdr:rowOff>
    </xdr:to>
    <xdr:sp macro="" textlink="">
      <xdr:nvSpPr>
        <xdr:cNvPr id="10" name="Rectangle: Top Corners One Rounded and One Snipped 9">
          <a:extLst>
            <a:ext uri="{FF2B5EF4-FFF2-40B4-BE49-F238E27FC236}">
              <a16:creationId xmlns:a16="http://schemas.microsoft.com/office/drawing/2014/main" id="{79F7DEC7-AE05-EA0A-0D49-D98AD17B577B}"/>
            </a:ext>
          </a:extLst>
        </xdr:cNvPr>
        <xdr:cNvSpPr/>
      </xdr:nvSpPr>
      <xdr:spPr>
        <a:xfrm>
          <a:off x="0" y="53340"/>
          <a:ext cx="3383280" cy="1447800"/>
        </a:xfrm>
        <a:prstGeom prst="snip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83820</xdr:colOff>
      <xdr:row>13</xdr:row>
      <xdr:rowOff>175260</xdr:rowOff>
    </xdr:from>
    <xdr:to>
      <xdr:col>17</xdr:col>
      <xdr:colOff>152400</xdr:colOff>
      <xdr:row>25</xdr:row>
      <xdr:rowOff>22860</xdr:rowOff>
    </xdr:to>
    <xdr:sp macro="" textlink="">
      <xdr:nvSpPr>
        <xdr:cNvPr id="12" name="Rectangle: Diagonal Corners Rounded 11">
          <a:extLst>
            <a:ext uri="{FF2B5EF4-FFF2-40B4-BE49-F238E27FC236}">
              <a16:creationId xmlns:a16="http://schemas.microsoft.com/office/drawing/2014/main" id="{DE31426B-6515-13A0-374D-5B52EC59D0A5}"/>
            </a:ext>
          </a:extLst>
        </xdr:cNvPr>
        <xdr:cNvSpPr/>
      </xdr:nvSpPr>
      <xdr:spPr>
        <a:xfrm>
          <a:off x="6789420" y="2552700"/>
          <a:ext cx="3726180" cy="2042160"/>
        </a:xfrm>
        <a:prstGeom prst="round2Diag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76200</xdr:colOff>
      <xdr:row>6</xdr:row>
      <xdr:rowOff>60960</xdr:rowOff>
    </xdr:from>
    <xdr:to>
      <xdr:col>16</xdr:col>
      <xdr:colOff>403860</xdr:colOff>
      <xdr:row>13</xdr:row>
      <xdr:rowOff>99060</xdr:rowOff>
    </xdr:to>
    <xdr:sp macro="" textlink="">
      <xdr:nvSpPr>
        <xdr:cNvPr id="14" name="Rectangle: Rounded Corners 13">
          <a:extLst>
            <a:ext uri="{FF2B5EF4-FFF2-40B4-BE49-F238E27FC236}">
              <a16:creationId xmlns:a16="http://schemas.microsoft.com/office/drawing/2014/main" id="{A17E6518-C5F2-24FF-C4E4-F58762AA911A}"/>
            </a:ext>
          </a:extLst>
        </xdr:cNvPr>
        <xdr:cNvSpPr/>
      </xdr:nvSpPr>
      <xdr:spPr>
        <a:xfrm>
          <a:off x="6781800" y="1158240"/>
          <a:ext cx="3375660" cy="1318260"/>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297180</xdr:colOff>
      <xdr:row>0</xdr:row>
      <xdr:rowOff>152400</xdr:rowOff>
    </xdr:from>
    <xdr:to>
      <xdr:col>12</xdr:col>
      <xdr:colOff>525780</xdr:colOff>
      <xdr:row>5</xdr:row>
      <xdr:rowOff>121920</xdr:rowOff>
    </xdr:to>
    <xdr:sp macro="" textlink="">
      <xdr:nvSpPr>
        <xdr:cNvPr id="15" name="TextBox 14">
          <a:extLst>
            <a:ext uri="{FF2B5EF4-FFF2-40B4-BE49-F238E27FC236}">
              <a16:creationId xmlns:a16="http://schemas.microsoft.com/office/drawing/2014/main" id="{4B242A1C-6578-1BD4-7BA2-96B4B64084BD}"/>
            </a:ext>
          </a:extLst>
        </xdr:cNvPr>
        <xdr:cNvSpPr txBox="1"/>
      </xdr:nvSpPr>
      <xdr:spPr>
        <a:xfrm>
          <a:off x="5783580" y="152400"/>
          <a:ext cx="2057400" cy="8839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Arial Black" panose="020B0A04020102020204" pitchFamily="34" charset="0"/>
            </a:rPr>
            <a:t>PRE-JOINING RECRUITMENT</a:t>
          </a:r>
          <a:r>
            <a:rPr lang="en-IN" sz="1400" baseline="0">
              <a:solidFill>
                <a:schemeClr val="bg1"/>
              </a:solidFill>
              <a:latin typeface="Arial Black" panose="020B0A04020102020204" pitchFamily="34" charset="0"/>
            </a:rPr>
            <a:t> DASHBOARD</a:t>
          </a:r>
          <a:endParaRPr lang="en-IN" sz="1400">
            <a:solidFill>
              <a:schemeClr val="bg1"/>
            </a:solidFill>
            <a:latin typeface="Arial Black" panose="020B0A04020102020204" pitchFamily="34" charset="0"/>
          </a:endParaRPr>
        </a:p>
      </xdr:txBody>
    </xdr:sp>
    <xdr:clientData/>
  </xdr:twoCellAnchor>
  <xdr:twoCellAnchor>
    <xdr:from>
      <xdr:col>16</xdr:col>
      <xdr:colOff>563880</xdr:colOff>
      <xdr:row>0</xdr:row>
      <xdr:rowOff>91440</xdr:rowOff>
    </xdr:from>
    <xdr:to>
      <xdr:col>22</xdr:col>
      <xdr:colOff>601980</xdr:colOff>
      <xdr:row>13</xdr:row>
      <xdr:rowOff>45720</xdr:rowOff>
    </xdr:to>
    <xdr:graphicFrame macro="">
      <xdr:nvGraphicFramePr>
        <xdr:cNvPr id="16" name="Chart 15">
          <a:extLst>
            <a:ext uri="{FF2B5EF4-FFF2-40B4-BE49-F238E27FC236}">
              <a16:creationId xmlns:a16="http://schemas.microsoft.com/office/drawing/2014/main" id="{A8780D1D-F3AB-4011-87A5-0DBCA17A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205740</xdr:colOff>
      <xdr:row>15</xdr:row>
      <xdr:rowOff>53340</xdr:rowOff>
    </xdr:from>
    <xdr:to>
      <xdr:col>16</xdr:col>
      <xdr:colOff>601980</xdr:colOff>
      <xdr:row>24</xdr:row>
      <xdr:rowOff>76200</xdr:rowOff>
    </xdr:to>
    <xdr:graphicFrame macro="">
      <xdr:nvGraphicFramePr>
        <xdr:cNvPr id="17" name="Chart 16">
          <a:extLst>
            <a:ext uri="{FF2B5EF4-FFF2-40B4-BE49-F238E27FC236}">
              <a16:creationId xmlns:a16="http://schemas.microsoft.com/office/drawing/2014/main" id="{C2D77A16-16EF-4753-8338-B7ABC32CE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45720</xdr:colOff>
      <xdr:row>17</xdr:row>
      <xdr:rowOff>68580</xdr:rowOff>
    </xdr:from>
    <xdr:to>
      <xdr:col>4</xdr:col>
      <xdr:colOff>601980</xdr:colOff>
      <xdr:row>23</xdr:row>
      <xdr:rowOff>83819</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440871CB-464B-4115-9A5C-E058BDEF3F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74520" y="3177540"/>
              <a:ext cx="116586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15</xdr:row>
      <xdr:rowOff>15240</xdr:rowOff>
    </xdr:from>
    <xdr:to>
      <xdr:col>19</xdr:col>
      <xdr:colOff>182880</xdr:colOff>
      <xdr:row>24</xdr:row>
      <xdr:rowOff>91440</xdr:rowOff>
    </xdr:to>
    <mc:AlternateContent xmlns:mc="http://schemas.openxmlformats.org/markup-compatibility/2006" xmlns:a14="http://schemas.microsoft.com/office/drawing/2010/main">
      <mc:Choice Requires="a14">
        <xdr:graphicFrame macro="">
          <xdr:nvGraphicFramePr>
            <xdr:cNvPr id="19" name="Position 1">
              <a:extLst>
                <a:ext uri="{FF2B5EF4-FFF2-40B4-BE49-F238E27FC236}">
                  <a16:creationId xmlns:a16="http://schemas.microsoft.com/office/drawing/2014/main" id="{AD2B3B5D-F437-4BA9-9A09-91E4A70C7BA0}"/>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0660380" y="2758440"/>
              <a:ext cx="11049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53340</xdr:colOff>
      <xdr:row>14</xdr:row>
      <xdr:rowOff>167640</xdr:rowOff>
    </xdr:from>
    <xdr:to>
      <xdr:col>22</xdr:col>
      <xdr:colOff>487680</xdr:colOff>
      <xdr:row>24</xdr:row>
      <xdr:rowOff>99060</xdr:rowOff>
    </xdr:to>
    <mc:AlternateContent xmlns:mc="http://schemas.openxmlformats.org/markup-compatibility/2006" xmlns:a14="http://schemas.microsoft.com/office/drawing/2010/main">
      <mc:Choice Requires="a14">
        <xdr:graphicFrame macro="">
          <xdr:nvGraphicFramePr>
            <xdr:cNvPr id="20" name="Location 1">
              <a:extLst>
                <a:ext uri="{FF2B5EF4-FFF2-40B4-BE49-F238E27FC236}">
                  <a16:creationId xmlns:a16="http://schemas.microsoft.com/office/drawing/2014/main" id="{D3F2F686-ECC3-48CC-B1C7-10BB70793FF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2854940" y="2727960"/>
              <a:ext cx="104394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213360</xdr:colOff>
      <xdr:row>14</xdr:row>
      <xdr:rowOff>175260</xdr:rowOff>
    </xdr:from>
    <xdr:to>
      <xdr:col>21</xdr:col>
      <xdr:colOff>7620</xdr:colOff>
      <xdr:row>24</xdr:row>
      <xdr:rowOff>99060</xdr:rowOff>
    </xdr:to>
    <mc:AlternateContent xmlns:mc="http://schemas.openxmlformats.org/markup-compatibility/2006" xmlns:a14="http://schemas.microsoft.com/office/drawing/2010/main">
      <mc:Choice Requires="a14">
        <xdr:graphicFrame macro="">
          <xdr:nvGraphicFramePr>
            <xdr:cNvPr id="21" name="Experience_Years 1">
              <a:extLst>
                <a:ext uri="{FF2B5EF4-FFF2-40B4-BE49-F238E27FC236}">
                  <a16:creationId xmlns:a16="http://schemas.microsoft.com/office/drawing/2014/main" id="{55385AA3-EB71-4388-ADC5-60C97863E3DF}"/>
                </a:ext>
              </a:extLst>
            </xdr:cNvPr>
            <xdr:cNvGraphicFramePr/>
          </xdr:nvGraphicFramePr>
          <xdr:xfrm>
            <a:off x="0" y="0"/>
            <a:ext cx="0" cy="0"/>
          </xdr:xfrm>
          <a:graphic>
            <a:graphicData uri="http://schemas.microsoft.com/office/drawing/2010/slicer">
              <sle:slicer xmlns:sle="http://schemas.microsoft.com/office/drawing/2010/slicer" name="Experience_Years 1"/>
            </a:graphicData>
          </a:graphic>
        </xdr:graphicFrame>
      </mc:Choice>
      <mc:Fallback xmlns="">
        <xdr:sp macro="" textlink="">
          <xdr:nvSpPr>
            <xdr:cNvPr id="0" name=""/>
            <xdr:cNvSpPr>
              <a:spLocks noTextEdit="1"/>
            </xdr:cNvSpPr>
          </xdr:nvSpPr>
          <xdr:spPr>
            <a:xfrm>
              <a:off x="11795760" y="2735580"/>
              <a:ext cx="101346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0</xdr:row>
      <xdr:rowOff>152400</xdr:rowOff>
    </xdr:from>
    <xdr:to>
      <xdr:col>7</xdr:col>
      <xdr:colOff>22860</xdr:colOff>
      <xdr:row>5</xdr:row>
      <xdr:rowOff>8029</xdr:rowOff>
    </xdr:to>
    <xdr:pic>
      <xdr:nvPicPr>
        <xdr:cNvPr id="22" name="Picture 21">
          <a:extLst>
            <a:ext uri="{FF2B5EF4-FFF2-40B4-BE49-F238E27FC236}">
              <a16:creationId xmlns:a16="http://schemas.microsoft.com/office/drawing/2014/main" id="{5D8B75E4-4494-B71B-243C-984FF087915F}"/>
            </a:ext>
          </a:extLst>
        </xdr:cNvPr>
        <xdr:cNvPicPr>
          <a:picLocks noChangeAspect="1"/>
        </xdr:cNvPicPr>
      </xdr:nvPicPr>
      <xdr:blipFill rotWithShape="1">
        <a:blip xmlns:r="http://schemas.openxmlformats.org/officeDocument/2006/relationships" r:embed="rId3"/>
        <a:srcRect l="8616" t="3846" r="12307" b="14744"/>
        <a:stretch>
          <a:fillRect/>
        </a:stretch>
      </xdr:blipFill>
      <xdr:spPr>
        <a:xfrm>
          <a:off x="3505200" y="152400"/>
          <a:ext cx="784860" cy="770029"/>
        </a:xfrm>
        <a:prstGeom prst="ellipse">
          <a:avLst/>
        </a:prstGeom>
      </xdr:spPr>
    </xdr:pic>
    <xdr:clientData/>
  </xdr:twoCellAnchor>
  <xdr:twoCellAnchor editAs="oneCell">
    <xdr:from>
      <xdr:col>15</xdr:col>
      <xdr:colOff>114299</xdr:colOff>
      <xdr:row>1</xdr:row>
      <xdr:rowOff>7620</xdr:rowOff>
    </xdr:from>
    <xdr:to>
      <xdr:col>16</xdr:col>
      <xdr:colOff>304800</xdr:colOff>
      <xdr:row>5</xdr:row>
      <xdr:rowOff>7620</xdr:rowOff>
    </xdr:to>
    <xdr:pic>
      <xdr:nvPicPr>
        <xdr:cNvPr id="24" name="Picture 23">
          <a:extLst>
            <a:ext uri="{FF2B5EF4-FFF2-40B4-BE49-F238E27FC236}">
              <a16:creationId xmlns:a16="http://schemas.microsoft.com/office/drawing/2014/main" id="{BF079FA9-6893-12BA-FFC5-2698629C3B0B}"/>
            </a:ext>
          </a:extLst>
        </xdr:cNvPr>
        <xdr:cNvPicPr>
          <a:picLocks noChangeAspect="1"/>
        </xdr:cNvPicPr>
      </xdr:nvPicPr>
      <xdr:blipFill>
        <a:blip xmlns:r="http://schemas.openxmlformats.org/officeDocument/2006/relationships" r:embed="rId4"/>
        <a:stretch>
          <a:fillRect/>
        </a:stretch>
      </xdr:blipFill>
      <xdr:spPr>
        <a:xfrm>
          <a:off x="9258299" y="190500"/>
          <a:ext cx="800101" cy="731520"/>
        </a:xfrm>
        <a:prstGeom prst="ellipse">
          <a:avLst/>
        </a:prstGeom>
      </xdr:spPr>
    </xdr:pic>
    <xdr:clientData/>
  </xdr:twoCellAnchor>
  <xdr:twoCellAnchor>
    <xdr:from>
      <xdr:col>7</xdr:col>
      <xdr:colOff>68580</xdr:colOff>
      <xdr:row>1</xdr:row>
      <xdr:rowOff>30480</xdr:rowOff>
    </xdr:from>
    <xdr:to>
      <xdr:col>9</xdr:col>
      <xdr:colOff>152400</xdr:colOff>
      <xdr:row>2</xdr:row>
      <xdr:rowOff>129540</xdr:rowOff>
    </xdr:to>
    <xdr:sp macro="" textlink="">
      <xdr:nvSpPr>
        <xdr:cNvPr id="25" name="TextBox 24">
          <a:extLst>
            <a:ext uri="{FF2B5EF4-FFF2-40B4-BE49-F238E27FC236}">
              <a16:creationId xmlns:a16="http://schemas.microsoft.com/office/drawing/2014/main" id="{E3CCF6CA-CD42-7DAF-0B3F-643CD2C0346F}"/>
            </a:ext>
          </a:extLst>
        </xdr:cNvPr>
        <xdr:cNvSpPr txBox="1"/>
      </xdr:nvSpPr>
      <xdr:spPr>
        <a:xfrm>
          <a:off x="4335780" y="213360"/>
          <a:ext cx="130302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TOTAL CANDIDATES</a:t>
          </a:r>
        </a:p>
      </xdr:txBody>
    </xdr:sp>
    <xdr:clientData/>
  </xdr:twoCellAnchor>
  <xdr:twoCellAnchor>
    <xdr:from>
      <xdr:col>13</xdr:col>
      <xdr:colOff>7620</xdr:colOff>
      <xdr:row>1</xdr:row>
      <xdr:rowOff>15240</xdr:rowOff>
    </xdr:from>
    <xdr:to>
      <xdr:col>15</xdr:col>
      <xdr:colOff>129540</xdr:colOff>
      <xdr:row>2</xdr:row>
      <xdr:rowOff>91440</xdr:rowOff>
    </xdr:to>
    <xdr:sp macro="" textlink="">
      <xdr:nvSpPr>
        <xdr:cNvPr id="26" name="TextBox 25">
          <a:extLst>
            <a:ext uri="{FF2B5EF4-FFF2-40B4-BE49-F238E27FC236}">
              <a16:creationId xmlns:a16="http://schemas.microsoft.com/office/drawing/2014/main" id="{40E6C34C-05AC-2DBF-F3A4-4F4C4C629A4E}"/>
            </a:ext>
          </a:extLst>
        </xdr:cNvPr>
        <xdr:cNvSpPr txBox="1"/>
      </xdr:nvSpPr>
      <xdr:spPr>
        <a:xfrm>
          <a:off x="7932420" y="198120"/>
          <a:ext cx="13411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SELECTED</a:t>
          </a:r>
        </a:p>
      </xdr:txBody>
    </xdr:sp>
    <xdr:clientData/>
  </xdr:twoCellAnchor>
  <xdr:twoCellAnchor>
    <xdr:from>
      <xdr:col>13</xdr:col>
      <xdr:colOff>480060</xdr:colOff>
      <xdr:row>3</xdr:row>
      <xdr:rowOff>53340</xdr:rowOff>
    </xdr:from>
    <xdr:to>
      <xdr:col>14</xdr:col>
      <xdr:colOff>396240</xdr:colOff>
      <xdr:row>4</xdr:row>
      <xdr:rowOff>152400</xdr:rowOff>
    </xdr:to>
    <xdr:sp macro="" textlink="' KPINPIVOT'!C6">
      <xdr:nvSpPr>
        <xdr:cNvPr id="27" name="TextBox 26">
          <a:extLst>
            <a:ext uri="{FF2B5EF4-FFF2-40B4-BE49-F238E27FC236}">
              <a16:creationId xmlns:a16="http://schemas.microsoft.com/office/drawing/2014/main" id="{AC5E468E-9E50-3386-D7E1-D8CBC8EA7EE7}"/>
            </a:ext>
          </a:extLst>
        </xdr:cNvPr>
        <xdr:cNvSpPr txBox="1"/>
      </xdr:nvSpPr>
      <xdr:spPr>
        <a:xfrm>
          <a:off x="8404860" y="601980"/>
          <a:ext cx="52578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86DA7A-A67E-4B22-ACA9-4FC1AABF9C0A}" type="TxLink">
            <a:rPr lang="en-US" sz="1100" b="1" i="0" u="none" strike="noStrike">
              <a:solidFill>
                <a:srgbClr val="000000"/>
              </a:solidFill>
              <a:latin typeface="Calibri"/>
              <a:ea typeface="Calibri"/>
              <a:cs typeface="Calibri"/>
            </a:rPr>
            <a:pPr algn="ctr"/>
            <a:t>256</a:t>
          </a:fld>
          <a:endParaRPr lang="en-IN" sz="1100" b="1"/>
        </a:p>
      </xdr:txBody>
    </xdr:sp>
    <xdr:clientData/>
  </xdr:twoCellAnchor>
  <xdr:twoCellAnchor>
    <xdr:from>
      <xdr:col>0</xdr:col>
      <xdr:colOff>220980</xdr:colOff>
      <xdr:row>16</xdr:row>
      <xdr:rowOff>175260</xdr:rowOff>
    </xdr:from>
    <xdr:to>
      <xdr:col>2</xdr:col>
      <xdr:colOff>541020</xdr:colOff>
      <xdr:row>24</xdr:row>
      <xdr:rowOff>91440</xdr:rowOff>
    </xdr:to>
    <xdr:graphicFrame macro="">
      <xdr:nvGraphicFramePr>
        <xdr:cNvPr id="29" name="Chart 28">
          <a:extLst>
            <a:ext uri="{FF2B5EF4-FFF2-40B4-BE49-F238E27FC236}">
              <a16:creationId xmlns:a16="http://schemas.microsoft.com/office/drawing/2014/main" id="{7D49D293-A6EA-4C44-929F-0CC6BBE16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541020</xdr:colOff>
      <xdr:row>6</xdr:row>
      <xdr:rowOff>167639</xdr:rowOff>
    </xdr:from>
    <xdr:to>
      <xdr:col>7</xdr:col>
      <xdr:colOff>480060</xdr:colOff>
      <xdr:row>8</xdr:row>
      <xdr:rowOff>30480</xdr:rowOff>
    </xdr:to>
    <xdr:pic>
      <xdr:nvPicPr>
        <xdr:cNvPr id="31" name="Picture 30">
          <a:extLst>
            <a:ext uri="{FF2B5EF4-FFF2-40B4-BE49-F238E27FC236}">
              <a16:creationId xmlns:a16="http://schemas.microsoft.com/office/drawing/2014/main" id="{6DB24B7E-77A8-04FA-E1D1-287A44D01E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589020" y="1264919"/>
          <a:ext cx="1158240" cy="228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525780</xdr:colOff>
      <xdr:row>8</xdr:row>
      <xdr:rowOff>114299</xdr:rowOff>
    </xdr:from>
    <xdr:to>
      <xdr:col>8</xdr:col>
      <xdr:colOff>15246</xdr:colOff>
      <xdr:row>9</xdr:row>
      <xdr:rowOff>121920</xdr:rowOff>
    </xdr:to>
    <xdr:pic>
      <xdr:nvPicPr>
        <xdr:cNvPr id="32" name="Picture 31">
          <a:extLst>
            <a:ext uri="{FF2B5EF4-FFF2-40B4-BE49-F238E27FC236}">
              <a16:creationId xmlns:a16="http://schemas.microsoft.com/office/drawing/2014/main" id="{F0B15850-7816-2640-4E3F-FEE7F7A472B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573780" y="1577339"/>
          <a:ext cx="1318266"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548640</xdr:colOff>
      <xdr:row>10</xdr:row>
      <xdr:rowOff>38100</xdr:rowOff>
    </xdr:from>
    <xdr:to>
      <xdr:col>8</xdr:col>
      <xdr:colOff>76200</xdr:colOff>
      <xdr:row>11</xdr:row>
      <xdr:rowOff>38100</xdr:rowOff>
    </xdr:to>
    <xdr:pic>
      <xdr:nvPicPr>
        <xdr:cNvPr id="33" name="Picture 32">
          <a:extLst>
            <a:ext uri="{FF2B5EF4-FFF2-40B4-BE49-F238E27FC236}">
              <a16:creationId xmlns:a16="http://schemas.microsoft.com/office/drawing/2014/main" id="{A4F6F1E8-4D4D-8254-9D1E-4315D499141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96640" y="1866900"/>
          <a:ext cx="135636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396240</xdr:colOff>
      <xdr:row>12</xdr:row>
      <xdr:rowOff>121920</xdr:rowOff>
    </xdr:from>
    <xdr:to>
      <xdr:col>10</xdr:col>
      <xdr:colOff>487680</xdr:colOff>
      <xdr:row>24</xdr:row>
      <xdr:rowOff>121920</xdr:rowOff>
    </xdr:to>
    <xdr:graphicFrame macro="">
      <xdr:nvGraphicFramePr>
        <xdr:cNvPr id="38" name="Chart 37">
          <a:extLst>
            <a:ext uri="{FF2B5EF4-FFF2-40B4-BE49-F238E27FC236}">
              <a16:creationId xmlns:a16="http://schemas.microsoft.com/office/drawing/2014/main" id="{C3BE639A-2E01-4B55-B926-E2132172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99060</xdr:colOff>
      <xdr:row>8</xdr:row>
      <xdr:rowOff>114300</xdr:rowOff>
    </xdr:from>
    <xdr:to>
      <xdr:col>5</xdr:col>
      <xdr:colOff>160020</xdr:colOff>
      <xdr:row>15</xdr:row>
      <xdr:rowOff>76200</xdr:rowOff>
    </xdr:to>
    <xdr:graphicFrame macro="">
      <xdr:nvGraphicFramePr>
        <xdr:cNvPr id="39" name="Chart 38">
          <a:extLst>
            <a:ext uri="{FF2B5EF4-FFF2-40B4-BE49-F238E27FC236}">
              <a16:creationId xmlns:a16="http://schemas.microsoft.com/office/drawing/2014/main" id="{24931F5A-BE82-4CED-A6EF-1FDA0C2A9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91440</xdr:colOff>
      <xdr:row>1</xdr:row>
      <xdr:rowOff>60960</xdr:rowOff>
    </xdr:from>
    <xdr:to>
      <xdr:col>3</xdr:col>
      <xdr:colOff>30480</xdr:colOff>
      <xdr:row>3</xdr:row>
      <xdr:rowOff>91440</xdr:rowOff>
    </xdr:to>
    <xdr:sp macro="" textlink="">
      <xdr:nvSpPr>
        <xdr:cNvPr id="41" name="TextBox 40">
          <a:extLst>
            <a:ext uri="{FF2B5EF4-FFF2-40B4-BE49-F238E27FC236}">
              <a16:creationId xmlns:a16="http://schemas.microsoft.com/office/drawing/2014/main" id="{A8052835-82CD-66A6-5A87-7C8B3E1BAD96}"/>
            </a:ext>
          </a:extLst>
        </xdr:cNvPr>
        <xdr:cNvSpPr txBox="1"/>
      </xdr:nvSpPr>
      <xdr:spPr>
        <a:xfrm>
          <a:off x="91440" y="243840"/>
          <a:ext cx="1767840" cy="3962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a:solidFill>
                <a:schemeClr val="bg1"/>
              </a:solidFill>
            </a:rPr>
            <a:t>AVERAGE DAYS TO INTERVIEW</a:t>
          </a:r>
        </a:p>
      </xdr:txBody>
    </xdr:sp>
    <xdr:clientData/>
  </xdr:twoCellAnchor>
  <xdr:twoCellAnchor>
    <xdr:from>
      <xdr:col>3</xdr:col>
      <xdr:colOff>137160</xdr:colOff>
      <xdr:row>1</xdr:row>
      <xdr:rowOff>91440</xdr:rowOff>
    </xdr:from>
    <xdr:to>
      <xdr:col>4</xdr:col>
      <xdr:colOff>358140</xdr:colOff>
      <xdr:row>3</xdr:row>
      <xdr:rowOff>91440</xdr:rowOff>
    </xdr:to>
    <xdr:sp macro="" textlink="Pre_Joining_Recruitment_Dataset!W2">
      <xdr:nvSpPr>
        <xdr:cNvPr id="42" name="TextBox 41">
          <a:extLst>
            <a:ext uri="{FF2B5EF4-FFF2-40B4-BE49-F238E27FC236}">
              <a16:creationId xmlns:a16="http://schemas.microsoft.com/office/drawing/2014/main" id="{768AA468-895A-EEAB-ACE9-FC4C8997C5BA}"/>
            </a:ext>
          </a:extLst>
        </xdr:cNvPr>
        <xdr:cNvSpPr txBox="1"/>
      </xdr:nvSpPr>
      <xdr:spPr>
        <a:xfrm>
          <a:off x="1965960" y="274320"/>
          <a:ext cx="8305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D66FC0-8D76-457C-ABB5-11C3A6D295F6}" type="TxLink">
            <a:rPr lang="en-US" sz="1100" b="1" i="0" u="none" strike="noStrike">
              <a:solidFill>
                <a:srgbClr val="000000"/>
              </a:solidFill>
              <a:latin typeface="Calibri"/>
              <a:ea typeface="Calibri"/>
              <a:cs typeface="Calibri"/>
            </a:rPr>
            <a:pPr algn="ctr"/>
            <a:t>9.0</a:t>
          </a:fld>
          <a:endParaRPr lang="en-IN" sz="1100" b="1">
            <a:solidFill>
              <a:sysClr val="windowText" lastClr="000000"/>
            </a:solidFill>
          </a:endParaRPr>
        </a:p>
      </xdr:txBody>
    </xdr:sp>
    <xdr:clientData/>
  </xdr:twoCellAnchor>
  <xdr:twoCellAnchor>
    <xdr:from>
      <xdr:col>0</xdr:col>
      <xdr:colOff>99060</xdr:colOff>
      <xdr:row>4</xdr:row>
      <xdr:rowOff>68580</xdr:rowOff>
    </xdr:from>
    <xdr:to>
      <xdr:col>3</xdr:col>
      <xdr:colOff>30480</xdr:colOff>
      <xdr:row>6</xdr:row>
      <xdr:rowOff>137160</xdr:rowOff>
    </xdr:to>
    <xdr:sp macro="" textlink="">
      <xdr:nvSpPr>
        <xdr:cNvPr id="43" name="TextBox 42">
          <a:extLst>
            <a:ext uri="{FF2B5EF4-FFF2-40B4-BE49-F238E27FC236}">
              <a16:creationId xmlns:a16="http://schemas.microsoft.com/office/drawing/2014/main" id="{8A78303B-ED7D-6496-D4C6-DC787CE2AA0F}"/>
            </a:ext>
          </a:extLst>
        </xdr:cNvPr>
        <xdr:cNvSpPr txBox="1"/>
      </xdr:nvSpPr>
      <xdr:spPr>
        <a:xfrm>
          <a:off x="99060" y="800100"/>
          <a:ext cx="1760220" cy="4343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solidFill>
                <a:schemeClr val="bg1"/>
              </a:solidFill>
            </a:rPr>
            <a:t>AVERAGE</a:t>
          </a:r>
          <a:r>
            <a:rPr lang="en-IN" sz="1100" baseline="0">
              <a:solidFill>
                <a:schemeClr val="bg1"/>
              </a:solidFill>
            </a:rPr>
            <a:t> DAYS TO OFFER</a:t>
          </a:r>
          <a:endParaRPr lang="en-IN" sz="1100">
            <a:solidFill>
              <a:schemeClr val="bg1"/>
            </a:solidFill>
          </a:endParaRPr>
        </a:p>
      </xdr:txBody>
    </xdr:sp>
    <xdr:clientData/>
  </xdr:twoCellAnchor>
  <xdr:twoCellAnchor>
    <xdr:from>
      <xdr:col>3</xdr:col>
      <xdr:colOff>144780</xdr:colOff>
      <xdr:row>4</xdr:row>
      <xdr:rowOff>68580</xdr:rowOff>
    </xdr:from>
    <xdr:to>
      <xdr:col>4</xdr:col>
      <xdr:colOff>365760</xdr:colOff>
      <xdr:row>6</xdr:row>
      <xdr:rowOff>152400</xdr:rowOff>
    </xdr:to>
    <xdr:sp macro="" textlink="Pre_Joining_Recruitment_Dataset!X2">
      <xdr:nvSpPr>
        <xdr:cNvPr id="44" name="TextBox 43">
          <a:extLst>
            <a:ext uri="{FF2B5EF4-FFF2-40B4-BE49-F238E27FC236}">
              <a16:creationId xmlns:a16="http://schemas.microsoft.com/office/drawing/2014/main" id="{3C858DF6-B3BA-3ECE-F70F-235E34BBE629}"/>
            </a:ext>
          </a:extLst>
        </xdr:cNvPr>
        <xdr:cNvSpPr txBox="1"/>
      </xdr:nvSpPr>
      <xdr:spPr>
        <a:xfrm>
          <a:off x="1973580" y="800100"/>
          <a:ext cx="83058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77A525-3154-4169-A7B5-51A27A89A9AF}" type="TxLink">
            <a:rPr lang="en-US" sz="1100" b="1" i="0" u="none" strike="noStrike">
              <a:solidFill>
                <a:srgbClr val="000000"/>
              </a:solidFill>
              <a:latin typeface="Calibri"/>
              <a:ea typeface="Calibri"/>
              <a:cs typeface="Calibri"/>
            </a:rPr>
            <a:pPr algn="ctr"/>
            <a:t>4.59</a:t>
          </a:fld>
          <a:endParaRPr lang="en-IN" sz="1100" b="1">
            <a:solidFill>
              <a:sysClr val="windowText" lastClr="000000"/>
            </a:solidFill>
          </a:endParaRPr>
        </a:p>
      </xdr:txBody>
    </xdr:sp>
    <xdr:clientData/>
  </xdr:twoCellAnchor>
  <xdr:twoCellAnchor>
    <xdr:from>
      <xdr:col>7</xdr:col>
      <xdr:colOff>335280</xdr:colOff>
      <xdr:row>3</xdr:row>
      <xdr:rowOff>22860</xdr:rowOff>
    </xdr:from>
    <xdr:to>
      <xdr:col>8</xdr:col>
      <xdr:colOff>365760</xdr:colOff>
      <xdr:row>4</xdr:row>
      <xdr:rowOff>144780</xdr:rowOff>
    </xdr:to>
    <xdr:sp macro="" textlink="' KPINPIVOT'!B6">
      <xdr:nvSpPr>
        <xdr:cNvPr id="48" name="TextBox 47">
          <a:extLst>
            <a:ext uri="{FF2B5EF4-FFF2-40B4-BE49-F238E27FC236}">
              <a16:creationId xmlns:a16="http://schemas.microsoft.com/office/drawing/2014/main" id="{0B5BA7B0-CF46-AD5A-1303-05C2FB2E38C3}"/>
            </a:ext>
          </a:extLst>
        </xdr:cNvPr>
        <xdr:cNvSpPr txBox="1"/>
      </xdr:nvSpPr>
      <xdr:spPr>
        <a:xfrm>
          <a:off x="4602480" y="571500"/>
          <a:ext cx="6400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53DC68-E378-4AFE-8846-CFC360CB7746}" type="TxLink">
            <a:rPr lang="en-US" sz="1100" b="1" i="0" u="none" strike="noStrike">
              <a:solidFill>
                <a:srgbClr val="000000"/>
              </a:solidFill>
              <a:latin typeface="Calibri"/>
              <a:ea typeface="Calibri"/>
              <a:cs typeface="Calibri"/>
            </a:rPr>
            <a:pPr algn="ctr"/>
            <a:t>1000</a:t>
          </a:fld>
          <a:endParaRPr lang="en-IN" sz="1100" b="1"/>
        </a:p>
      </xdr:txBody>
    </xdr:sp>
    <xdr:clientData/>
  </xdr:twoCellAnchor>
  <xdr:twoCellAnchor>
    <xdr:from>
      <xdr:col>8</xdr:col>
      <xdr:colOff>419100</xdr:colOff>
      <xdr:row>6</xdr:row>
      <xdr:rowOff>167640</xdr:rowOff>
    </xdr:from>
    <xdr:to>
      <xdr:col>10</xdr:col>
      <xdr:colOff>53340</xdr:colOff>
      <xdr:row>8</xdr:row>
      <xdr:rowOff>53340</xdr:rowOff>
    </xdr:to>
    <xdr:sp macro="" textlink="' KPINPIVOT'!D6">
      <xdr:nvSpPr>
        <xdr:cNvPr id="49" name="TextBox 48">
          <a:extLst>
            <a:ext uri="{FF2B5EF4-FFF2-40B4-BE49-F238E27FC236}">
              <a16:creationId xmlns:a16="http://schemas.microsoft.com/office/drawing/2014/main" id="{F21459BF-8779-391A-6D64-BC988C4C96A7}"/>
            </a:ext>
          </a:extLst>
        </xdr:cNvPr>
        <xdr:cNvSpPr txBox="1"/>
      </xdr:nvSpPr>
      <xdr:spPr>
        <a:xfrm>
          <a:off x="5295900" y="1264920"/>
          <a:ext cx="8534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7F2A06-32A3-406A-AE34-44C35E6C65EE}" type="TxLink">
            <a:rPr lang="en-US" sz="1100" b="1" i="0" u="none" strike="noStrike">
              <a:solidFill>
                <a:srgbClr val="000000"/>
              </a:solidFill>
              <a:latin typeface="Calibri"/>
              <a:ea typeface="Calibri"/>
              <a:cs typeface="Calibri"/>
            </a:rPr>
            <a:pPr algn="ctr"/>
            <a:t>3.9</a:t>
          </a:fld>
          <a:endParaRPr lang="en-IN" sz="1100" b="1"/>
        </a:p>
      </xdr:txBody>
    </xdr:sp>
    <xdr:clientData/>
  </xdr:twoCellAnchor>
  <xdr:twoCellAnchor>
    <xdr:from>
      <xdr:col>8</xdr:col>
      <xdr:colOff>426720</xdr:colOff>
      <xdr:row>8</xdr:row>
      <xdr:rowOff>106680</xdr:rowOff>
    </xdr:from>
    <xdr:to>
      <xdr:col>10</xdr:col>
      <xdr:colOff>53340</xdr:colOff>
      <xdr:row>9</xdr:row>
      <xdr:rowOff>160020</xdr:rowOff>
    </xdr:to>
    <xdr:sp macro="" textlink="' KPINPIVOT'!E6">
      <xdr:nvSpPr>
        <xdr:cNvPr id="50" name="TextBox 49">
          <a:extLst>
            <a:ext uri="{FF2B5EF4-FFF2-40B4-BE49-F238E27FC236}">
              <a16:creationId xmlns:a16="http://schemas.microsoft.com/office/drawing/2014/main" id="{FFC7622E-7820-AF94-4078-6DDEB3F68A13}"/>
            </a:ext>
          </a:extLst>
        </xdr:cNvPr>
        <xdr:cNvSpPr txBox="1"/>
      </xdr:nvSpPr>
      <xdr:spPr>
        <a:xfrm>
          <a:off x="5303520" y="1569720"/>
          <a:ext cx="84582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3388F5-E9F4-4610-BCF6-221E21736616}" type="TxLink">
            <a:rPr lang="en-US" sz="1100" b="1" i="0" u="none" strike="noStrike">
              <a:solidFill>
                <a:srgbClr val="000000"/>
              </a:solidFill>
              <a:latin typeface="Calibri"/>
              <a:ea typeface="Calibri"/>
              <a:cs typeface="Calibri"/>
            </a:rPr>
            <a:pPr/>
            <a:t>723223.99</a:t>
          </a:fld>
          <a:endParaRPr lang="en-IN" sz="1100" b="1"/>
        </a:p>
      </xdr:txBody>
    </xdr:sp>
    <xdr:clientData/>
  </xdr:twoCellAnchor>
  <xdr:twoCellAnchor>
    <xdr:from>
      <xdr:col>8</xdr:col>
      <xdr:colOff>426720</xdr:colOff>
      <xdr:row>10</xdr:row>
      <xdr:rowOff>38100</xdr:rowOff>
    </xdr:from>
    <xdr:to>
      <xdr:col>10</xdr:col>
      <xdr:colOff>53340</xdr:colOff>
      <xdr:row>11</xdr:row>
      <xdr:rowOff>91440</xdr:rowOff>
    </xdr:to>
    <xdr:sp macro="" textlink="' KPINPIVOT'!F6">
      <xdr:nvSpPr>
        <xdr:cNvPr id="51" name="TextBox 50">
          <a:extLst>
            <a:ext uri="{FF2B5EF4-FFF2-40B4-BE49-F238E27FC236}">
              <a16:creationId xmlns:a16="http://schemas.microsoft.com/office/drawing/2014/main" id="{31A4DB0F-9ED6-454C-90C4-AF8C5CAEDDBA}"/>
            </a:ext>
          </a:extLst>
        </xdr:cNvPr>
        <xdr:cNvSpPr txBox="1"/>
      </xdr:nvSpPr>
      <xdr:spPr>
        <a:xfrm>
          <a:off x="5303520" y="1866900"/>
          <a:ext cx="84582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8AD43C-1E81-425E-8C19-8EDBC388860E}" type="TxLink">
            <a:rPr lang="en-US" sz="1100" b="1" i="0" u="none" strike="noStrike">
              <a:solidFill>
                <a:srgbClr val="000000"/>
              </a:solidFill>
              <a:latin typeface="Calibri"/>
              <a:ea typeface="Calibri"/>
              <a:cs typeface="Calibri"/>
            </a:rPr>
            <a:pPr algn="ctr"/>
            <a:t>5.92</a:t>
          </a:fld>
          <a:endParaRPr lang="en-IN" sz="1100" b="1"/>
        </a:p>
      </xdr:txBody>
    </xdr:sp>
    <xdr:clientData/>
  </xdr:twoCellAnchor>
  <xdr:twoCellAnchor editAs="oneCell">
    <xdr:from>
      <xdr:col>11</xdr:col>
      <xdr:colOff>243841</xdr:colOff>
      <xdr:row>7</xdr:row>
      <xdr:rowOff>53341</xdr:rowOff>
    </xdr:from>
    <xdr:to>
      <xdr:col>12</xdr:col>
      <xdr:colOff>563881</xdr:colOff>
      <xdr:row>12</xdr:row>
      <xdr:rowOff>68581</xdr:rowOff>
    </xdr:to>
    <xdr:pic>
      <xdr:nvPicPr>
        <xdr:cNvPr id="52" name="Picture 51">
          <a:extLst>
            <a:ext uri="{FF2B5EF4-FFF2-40B4-BE49-F238E27FC236}">
              <a16:creationId xmlns:a16="http://schemas.microsoft.com/office/drawing/2014/main" id="{4B5C988C-8A59-AE0A-47B9-E2226A474AEA}"/>
            </a:ext>
          </a:extLst>
        </xdr:cNvPr>
        <xdr:cNvPicPr>
          <a:picLocks noChangeAspect="1"/>
        </xdr:cNvPicPr>
      </xdr:nvPicPr>
      <xdr:blipFill>
        <a:blip xmlns:r="http://schemas.openxmlformats.org/officeDocument/2006/relationships" r:embed="rId11"/>
        <a:stretch>
          <a:fillRect/>
        </a:stretch>
      </xdr:blipFill>
      <xdr:spPr>
        <a:xfrm>
          <a:off x="6949441" y="1333501"/>
          <a:ext cx="929640" cy="929640"/>
        </a:xfrm>
        <a:prstGeom prst="rect">
          <a:avLst/>
        </a:prstGeom>
      </xdr:spPr>
    </xdr:pic>
    <xdr:clientData/>
  </xdr:twoCellAnchor>
  <xdr:twoCellAnchor editAs="oneCell">
    <xdr:from>
      <xdr:col>14</xdr:col>
      <xdr:colOff>441960</xdr:colOff>
      <xdr:row>7</xdr:row>
      <xdr:rowOff>53342</xdr:rowOff>
    </xdr:from>
    <xdr:to>
      <xdr:col>16</xdr:col>
      <xdr:colOff>236220</xdr:colOff>
      <xdr:row>12</xdr:row>
      <xdr:rowOff>114300</xdr:rowOff>
    </xdr:to>
    <xdr:pic>
      <xdr:nvPicPr>
        <xdr:cNvPr id="53" name="Picture 52">
          <a:extLst>
            <a:ext uri="{FF2B5EF4-FFF2-40B4-BE49-F238E27FC236}">
              <a16:creationId xmlns:a16="http://schemas.microsoft.com/office/drawing/2014/main" id="{61AE7CD8-E2D9-E980-240A-E7759C2F4F1B}"/>
            </a:ext>
          </a:extLst>
        </xdr:cNvPr>
        <xdr:cNvPicPr>
          <a:picLocks noChangeAspect="1"/>
        </xdr:cNvPicPr>
      </xdr:nvPicPr>
      <xdr:blipFill>
        <a:blip xmlns:r="http://schemas.openxmlformats.org/officeDocument/2006/relationships" r:embed="rId12"/>
        <a:stretch>
          <a:fillRect/>
        </a:stretch>
      </xdr:blipFill>
      <xdr:spPr>
        <a:xfrm>
          <a:off x="8976360" y="1333502"/>
          <a:ext cx="1013460" cy="975358"/>
        </a:xfrm>
        <a:prstGeom prst="rect">
          <a:avLst/>
        </a:prstGeom>
      </xdr:spPr>
    </xdr:pic>
    <xdr:clientData/>
  </xdr:twoCellAnchor>
  <xdr:twoCellAnchor editAs="oneCell">
    <xdr:from>
      <xdr:col>13</xdr:col>
      <xdr:colOff>45720</xdr:colOff>
      <xdr:row>7</xdr:row>
      <xdr:rowOff>53340</xdr:rowOff>
    </xdr:from>
    <xdr:to>
      <xdr:col>14</xdr:col>
      <xdr:colOff>350520</xdr:colOff>
      <xdr:row>12</xdr:row>
      <xdr:rowOff>60960</xdr:rowOff>
    </xdr:to>
    <xdr:pic>
      <xdr:nvPicPr>
        <xdr:cNvPr id="54" name="Picture 53">
          <a:extLst>
            <a:ext uri="{FF2B5EF4-FFF2-40B4-BE49-F238E27FC236}">
              <a16:creationId xmlns:a16="http://schemas.microsoft.com/office/drawing/2014/main" id="{F613EE07-C32A-9A6F-9FC8-FDC640668A9C}"/>
            </a:ext>
          </a:extLst>
        </xdr:cNvPr>
        <xdr:cNvPicPr>
          <a:picLocks noChangeAspect="1"/>
        </xdr:cNvPicPr>
      </xdr:nvPicPr>
      <xdr:blipFill>
        <a:blip xmlns:r="http://schemas.openxmlformats.org/officeDocument/2006/relationships" r:embed="rId13"/>
        <a:stretch>
          <a:fillRect/>
        </a:stretch>
      </xdr:blipFill>
      <xdr:spPr>
        <a:xfrm>
          <a:off x="7970520" y="1333500"/>
          <a:ext cx="914400" cy="9220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hitra U Savant" refreshedDate="46014.011350810186" createdVersion="8" refreshedVersion="8" minRefreshableVersion="3" recordCount="1000" xr:uid="{996EFB23-9EDB-40A7-8030-3B977B01CC96}">
  <cacheSource type="worksheet">
    <worksheetSource name="Table1"/>
  </cacheSource>
  <cacheFields count="18">
    <cacheField name="Candidate_ID" numFmtId="0">
      <sharedItems/>
    </cacheField>
    <cacheField name="First_Name" numFmtId="0">
      <sharedItems/>
    </cacheField>
    <cacheField name="Last_Name" numFmtId="0">
      <sharedItems/>
    </cacheField>
    <cacheField name="Gender" numFmtId="0">
      <sharedItems count="2">
        <s v="Female"/>
        <s v="Male"/>
      </sharedItems>
    </cacheField>
    <cacheField name="Age" numFmtId="0">
      <sharedItems containsSemiMixedTypes="0" containsString="0" containsNumber="1" containsInteger="1" minValue="21" maxValue="45"/>
    </cacheField>
    <cacheField name="Source" numFmtId="0">
      <sharedItems count="6">
        <s v="Indeed"/>
        <s v="Referral"/>
        <s v="Agency"/>
        <s v="LinkedIn"/>
        <s v="Naukri"/>
        <s v="Campus"/>
      </sharedItems>
    </cacheField>
    <cacheField name="Position" numFmtId="0">
      <sharedItems count="5">
        <s v="Business Analyst"/>
        <s v="Software Engineer"/>
        <s v="HR Recruiter"/>
        <s v="HR Executive"/>
        <s v="Data Analyst"/>
      </sharedItems>
    </cacheField>
    <cacheField name="Location" numFmtId="0">
      <sharedItems count="5">
        <s v="Hyderabad"/>
        <s v="Mumbai"/>
        <s v="Pune"/>
        <s v="Bangalore"/>
        <s v="Delhi"/>
      </sharedItems>
    </cacheField>
    <cacheField name="Application_Date" numFmtId="14">
      <sharedItems containsSemiMixedTypes="0" containsNonDate="0" containsDate="1" containsString="0" minDate="2021-01-02T00:00:00" maxDate="2024-04-16T00:00:00" count="677">
        <d v="2022-08-23T00:00:00"/>
        <d v="2022-03-10T00:00:00"/>
        <d v="2022-06-26T00:00:00"/>
        <d v="2023-01-09T00:00:00"/>
        <d v="2022-08-28T00:00:00"/>
        <d v="2022-02-28T00:00:00"/>
        <d v="2021-10-22T00:00:00"/>
        <d v="2023-06-22T00:00:00"/>
        <d v="2023-05-11T00:00:00"/>
        <d v="2021-09-26T00:00:00"/>
        <d v="2023-06-21T00:00:00"/>
        <d v="2023-10-05T00:00:00"/>
        <d v="2021-02-10T00:00:00"/>
        <d v="2022-11-14T00:00:00"/>
        <d v="2022-01-26T00:00:00"/>
        <d v="2021-12-31T00:00:00"/>
        <d v="2022-10-27T00:00:00"/>
        <d v="2022-03-02T00:00:00"/>
        <d v="2023-01-25T00:00:00"/>
        <d v="2023-06-28T00:00:00"/>
        <d v="2023-11-23T00:00:00"/>
        <d v="2023-09-05T00:00:00"/>
        <d v="2021-05-31T00:00:00"/>
        <d v="2022-04-16T00:00:00"/>
        <d v="2024-01-28T00:00:00"/>
        <d v="2023-08-11T00:00:00"/>
        <d v="2021-07-30T00:00:00"/>
        <d v="2021-05-10T00:00:00"/>
        <d v="2024-02-15T00:00:00"/>
        <d v="2022-11-28T00:00:00"/>
        <d v="2022-10-16T00:00:00"/>
        <d v="2023-04-21T00:00:00"/>
        <d v="2022-07-05T00:00:00"/>
        <d v="2022-01-19T00:00:00"/>
        <d v="2022-12-07T00:00:00"/>
        <d v="2023-05-16T00:00:00"/>
        <d v="2023-02-06T00:00:00"/>
        <d v="2022-11-01T00:00:00"/>
        <d v="2023-01-11T00:00:00"/>
        <d v="2023-12-28T00:00:00"/>
        <d v="2022-10-24T00:00:00"/>
        <d v="2021-03-17T00:00:00"/>
        <d v="2023-04-22T00:00:00"/>
        <d v="2022-11-26T00:00:00"/>
        <d v="2021-02-04T00:00:00"/>
        <d v="2022-11-22T00:00:00"/>
        <d v="2023-06-04T00:00:00"/>
        <d v="2023-03-26T00:00:00"/>
        <d v="2022-01-23T00:00:00"/>
        <d v="2022-02-20T00:00:00"/>
        <d v="2023-10-21T00:00:00"/>
        <d v="2021-03-22T00:00:00"/>
        <d v="2021-02-21T00:00:00"/>
        <d v="2021-08-07T00:00:00"/>
        <d v="2022-06-13T00:00:00"/>
        <d v="2021-06-04T00:00:00"/>
        <d v="2022-01-08T00:00:00"/>
        <d v="2021-04-28T00:00:00"/>
        <d v="2024-01-15T00:00:00"/>
        <d v="2022-10-23T00:00:00"/>
        <d v="2022-04-06T00:00:00"/>
        <d v="2021-12-03T00:00:00"/>
        <d v="2021-07-29T00:00:00"/>
        <d v="2021-08-31T00:00:00"/>
        <d v="2023-12-12T00:00:00"/>
        <d v="2021-04-11T00:00:00"/>
        <d v="2022-11-04T00:00:00"/>
        <d v="2023-11-29T00:00:00"/>
        <d v="2021-03-27T00:00:00"/>
        <d v="2022-07-13T00:00:00"/>
        <d v="2022-05-31T00:00:00"/>
        <d v="2024-02-11T00:00:00"/>
        <d v="2023-08-10T00:00:00"/>
        <d v="2021-06-13T00:00:00"/>
        <d v="2022-04-10T00:00:00"/>
        <d v="2023-10-24T00:00:00"/>
        <d v="2023-03-29T00:00:00"/>
        <d v="2021-02-09T00:00:00"/>
        <d v="2021-10-06T00:00:00"/>
        <d v="2024-01-31T00:00:00"/>
        <d v="2023-04-17T00:00:00"/>
        <d v="2023-05-25T00:00:00"/>
        <d v="2021-08-05T00:00:00"/>
        <d v="2022-07-14T00:00:00"/>
        <d v="2023-03-14T00:00:00"/>
        <d v="2023-02-22T00:00:00"/>
        <d v="2021-04-15T00:00:00"/>
        <d v="2022-08-04T00:00:00"/>
        <d v="2021-01-18T00:00:00"/>
        <d v="2023-09-21T00:00:00"/>
        <d v="2024-04-14T00:00:00"/>
        <d v="2022-02-12T00:00:00"/>
        <d v="2023-04-12T00:00:00"/>
        <d v="2024-03-24T00:00:00"/>
        <d v="2022-11-09T00:00:00"/>
        <d v="2021-07-17T00:00:00"/>
        <d v="2024-02-10T00:00:00"/>
        <d v="2022-04-14T00:00:00"/>
        <d v="2021-02-11T00:00:00"/>
        <d v="2023-04-20T00:00:00"/>
        <d v="2023-03-27T00:00:00"/>
        <d v="2021-10-10T00:00:00"/>
        <d v="2021-08-12T00:00:00"/>
        <d v="2023-07-02T00:00:00"/>
        <d v="2022-05-05T00:00:00"/>
        <d v="2023-05-27T00:00:00"/>
        <d v="2021-07-06T00:00:00"/>
        <d v="2021-09-18T00:00:00"/>
        <d v="2023-06-15T00:00:00"/>
        <d v="2023-12-19T00:00:00"/>
        <d v="2021-01-15T00:00:00"/>
        <d v="2023-07-17T00:00:00"/>
        <d v="2023-03-23T00:00:00"/>
        <d v="2021-12-14T00:00:00"/>
        <d v="2022-11-06T00:00:00"/>
        <d v="2022-07-20T00:00:00"/>
        <d v="2021-05-21T00:00:00"/>
        <d v="2021-06-10T00:00:00"/>
        <d v="2024-01-01T00:00:00"/>
        <d v="2022-09-08T00:00:00"/>
        <d v="2022-05-10T00:00:00"/>
        <d v="2022-09-11T00:00:00"/>
        <d v="2021-04-18T00:00:00"/>
        <d v="2023-10-08T00:00:00"/>
        <d v="2021-05-04T00:00:00"/>
        <d v="2023-08-20T00:00:00"/>
        <d v="2021-06-24T00:00:00"/>
        <d v="2021-08-06T00:00:00"/>
        <d v="2021-10-25T00:00:00"/>
        <d v="2022-08-02T00:00:00"/>
        <d v="2023-03-31T00:00:00"/>
        <d v="2023-10-28T00:00:00"/>
        <d v="2023-01-24T00:00:00"/>
        <d v="2023-04-18T00:00:00"/>
        <d v="2021-05-20T00:00:00"/>
        <d v="2022-02-02T00:00:00"/>
        <d v="2024-03-18T00:00:00"/>
        <d v="2022-03-18T00:00:00"/>
        <d v="2021-12-19T00:00:00"/>
        <d v="2021-05-25T00:00:00"/>
        <d v="2022-07-04T00:00:00"/>
        <d v="2022-01-29T00:00:00"/>
        <d v="2021-03-16T00:00:00"/>
        <d v="2023-08-06T00:00:00"/>
        <d v="2023-04-13T00:00:00"/>
        <d v="2024-02-04T00:00:00"/>
        <d v="2021-12-07T00:00:00"/>
        <d v="2022-11-12T00:00:00"/>
        <d v="2022-03-12T00:00:00"/>
        <d v="2023-01-19T00:00:00"/>
        <d v="2024-01-19T00:00:00"/>
        <d v="2022-04-18T00:00:00"/>
        <d v="2022-10-10T00:00:00"/>
        <d v="2021-01-13T00:00:00"/>
        <d v="2024-01-07T00:00:00"/>
        <d v="2023-03-16T00:00:00"/>
        <d v="2021-02-15T00:00:00"/>
        <d v="2021-06-30T00:00:00"/>
        <d v="2022-09-04T00:00:00"/>
        <d v="2024-02-27T00:00:00"/>
        <d v="2021-09-02T00:00:00"/>
        <d v="2021-11-06T00:00:00"/>
        <d v="2023-06-09T00:00:00"/>
        <d v="2021-08-18T00:00:00"/>
        <d v="2022-11-13T00:00:00"/>
        <d v="2021-12-18T00:00:00"/>
        <d v="2022-08-15T00:00:00"/>
        <d v="2023-11-02T00:00:00"/>
        <d v="2022-08-05T00:00:00"/>
        <d v="2022-08-10T00:00:00"/>
        <d v="2021-03-04T00:00:00"/>
        <d v="2022-06-21T00:00:00"/>
        <d v="2023-08-27T00:00:00"/>
        <d v="2023-07-27T00:00:00"/>
        <d v="2021-09-09T00:00:00"/>
        <d v="2021-11-16T00:00:00"/>
        <d v="2021-09-16T00:00:00"/>
        <d v="2021-01-19T00:00:00"/>
        <d v="2022-10-06T00:00:00"/>
        <d v="2024-01-02T00:00:00"/>
        <d v="2023-07-21T00:00:00"/>
        <d v="2021-11-17T00:00:00"/>
        <d v="2023-10-04T00:00:00"/>
        <d v="2021-03-01T00:00:00"/>
        <d v="2022-12-14T00:00:00"/>
        <d v="2021-05-29T00:00:00"/>
        <d v="2021-07-02T00:00:00"/>
        <d v="2022-08-11T00:00:00"/>
        <d v="2021-08-16T00:00:00"/>
        <d v="2024-03-08T00:00:00"/>
        <d v="2023-08-19T00:00:00"/>
        <d v="2022-07-22T00:00:00"/>
        <d v="2022-02-04T00:00:00"/>
        <d v="2022-06-15T00:00:00"/>
        <d v="2023-11-28T00:00:00"/>
        <d v="2023-10-31T00:00:00"/>
        <d v="2023-02-07T00:00:00"/>
        <d v="2023-04-08T00:00:00"/>
        <d v="2023-03-15T00:00:00"/>
        <d v="2022-06-16T00:00:00"/>
        <d v="2021-09-20T00:00:00"/>
        <d v="2023-08-26T00:00:00"/>
        <d v="2023-08-08T00:00:00"/>
        <d v="2023-03-25T00:00:00"/>
        <d v="2022-06-18T00:00:00"/>
        <d v="2024-01-27T00:00:00"/>
        <d v="2024-02-23T00:00:00"/>
        <d v="2023-04-15T00:00:00"/>
        <d v="2021-05-16T00:00:00"/>
        <d v="2024-02-07T00:00:00"/>
        <d v="2023-08-02T00:00:00"/>
        <d v="2023-04-19T00:00:00"/>
        <d v="2021-06-23T00:00:00"/>
        <d v="2024-01-30T00:00:00"/>
        <d v="2022-07-17T00:00:00"/>
        <d v="2023-10-10T00:00:00"/>
        <d v="2022-08-14T00:00:00"/>
        <d v="2021-10-28T00:00:00"/>
        <d v="2022-02-11T00:00:00"/>
        <d v="2023-07-06T00:00:00"/>
        <d v="2022-09-09T00:00:00"/>
        <d v="2023-02-18T00:00:00"/>
        <d v="2021-11-05T00:00:00"/>
        <d v="2021-09-11T00:00:00"/>
        <d v="2023-11-26T00:00:00"/>
        <d v="2023-03-30T00:00:00"/>
        <d v="2023-10-11T00:00:00"/>
        <d v="2021-10-21T00:00:00"/>
        <d v="2021-07-01T00:00:00"/>
        <d v="2022-12-17T00:00:00"/>
        <d v="2023-02-02T00:00:00"/>
        <d v="2022-07-11T00:00:00"/>
        <d v="2023-09-09T00:00:00"/>
        <d v="2023-11-01T00:00:00"/>
        <d v="2023-08-07T00:00:00"/>
        <d v="2023-05-04T00:00:00"/>
        <d v="2023-07-09T00:00:00"/>
        <d v="2021-08-22T00:00:00"/>
        <d v="2023-11-09T00:00:00"/>
        <d v="2021-07-26T00:00:00"/>
        <d v="2023-05-19T00:00:00"/>
        <d v="2023-05-31T00:00:00"/>
        <d v="2021-07-13T00:00:00"/>
        <d v="2022-04-22T00:00:00"/>
        <d v="2021-10-11T00:00:00"/>
        <d v="2023-12-09T00:00:00"/>
        <d v="2022-07-28T00:00:00"/>
        <d v="2023-12-29T00:00:00"/>
        <d v="2021-03-24T00:00:00"/>
        <d v="2022-06-23T00:00:00"/>
        <d v="2022-02-16T00:00:00"/>
        <d v="2021-09-10T00:00:00"/>
        <d v="2022-11-11T00:00:00"/>
        <d v="2023-09-24T00:00:00"/>
        <d v="2023-02-04T00:00:00"/>
        <d v="2022-05-22T00:00:00"/>
        <d v="2021-10-24T00:00:00"/>
        <d v="2024-02-26T00:00:00"/>
        <d v="2021-12-16T00:00:00"/>
        <d v="2023-06-02T00:00:00"/>
        <d v="2022-09-06T00:00:00"/>
        <d v="2023-09-03T00:00:00"/>
        <d v="2022-04-17T00:00:00"/>
        <d v="2024-03-29T00:00:00"/>
        <d v="2023-03-11T00:00:00"/>
        <d v="2024-02-16T00:00:00"/>
        <d v="2021-03-28T00:00:00"/>
        <d v="2024-02-24T00:00:00"/>
        <d v="2022-08-17T00:00:00"/>
        <d v="2022-05-19T00:00:00"/>
        <d v="2023-10-15T00:00:00"/>
        <d v="2021-02-27T00:00:00"/>
        <d v="2021-07-21T00:00:00"/>
        <d v="2022-06-03T00:00:00"/>
        <d v="2022-03-29T00:00:00"/>
        <d v="2024-02-01T00:00:00"/>
        <d v="2024-03-28T00:00:00"/>
        <d v="2022-08-21T00:00:00"/>
        <d v="2023-05-21T00:00:00"/>
        <d v="2022-10-17T00:00:00"/>
        <d v="2021-04-27T00:00:00"/>
        <d v="2021-09-05T00:00:00"/>
        <d v="2021-01-06T00:00:00"/>
        <d v="2023-01-26T00:00:00"/>
        <d v="2022-06-12T00:00:00"/>
        <d v="2023-10-02T00:00:00"/>
        <d v="2022-11-10T00:00:00"/>
        <d v="2024-01-08T00:00:00"/>
        <d v="2023-02-19T00:00:00"/>
        <d v="2024-03-06T00:00:00"/>
        <d v="2023-02-12T00:00:00"/>
        <d v="2022-04-02T00:00:00"/>
        <d v="2021-08-30T00:00:00"/>
        <d v="2023-06-29T00:00:00"/>
        <d v="2021-01-08T00:00:00"/>
        <d v="2022-10-01T00:00:00"/>
        <d v="2022-02-22T00:00:00"/>
        <d v="2022-04-30T00:00:00"/>
        <d v="2023-01-21T00:00:00"/>
        <d v="2023-06-03T00:00:00"/>
        <d v="2021-12-06T00:00:00"/>
        <d v="2021-04-10T00:00:00"/>
        <d v="2024-03-11T00:00:00"/>
        <d v="2023-07-04T00:00:00"/>
        <d v="2023-08-16T00:00:00"/>
        <d v="2023-03-24T00:00:00"/>
        <d v="2023-07-13T00:00:00"/>
        <d v="2023-02-13T00:00:00"/>
        <d v="2022-09-23T00:00:00"/>
        <d v="2024-04-08T00:00:00"/>
        <d v="2023-09-23T00:00:00"/>
        <d v="2023-05-24T00:00:00"/>
        <d v="2022-07-02T00:00:00"/>
        <d v="2023-07-30T00:00:00"/>
        <d v="2021-03-10T00:00:00"/>
        <d v="2024-01-18T00:00:00"/>
        <d v="2022-02-24T00:00:00"/>
        <d v="2022-06-25T00:00:00"/>
        <d v="2022-02-07T00:00:00"/>
        <d v="2022-05-02T00:00:00"/>
        <d v="2023-04-06T00:00:00"/>
        <d v="2022-05-08T00:00:00"/>
        <d v="2021-05-07T00:00:00"/>
        <d v="2023-05-13T00:00:00"/>
        <d v="2023-05-03T00:00:00"/>
        <d v="2021-06-01T00:00:00"/>
        <d v="2021-04-24T00:00:00"/>
        <d v="2022-08-20T00:00:00"/>
        <d v="2024-04-10T00:00:00"/>
        <d v="2021-04-29T00:00:00"/>
        <d v="2021-04-26T00:00:00"/>
        <d v="2022-11-23T00:00:00"/>
        <d v="2021-01-09T00:00:00"/>
        <d v="2023-12-21T00:00:00"/>
        <d v="2023-12-22T00:00:00"/>
        <d v="2023-02-09T00:00:00"/>
        <d v="2022-03-06T00:00:00"/>
        <d v="2022-10-11T00:00:00"/>
        <d v="2022-01-03T00:00:00"/>
        <d v="2023-02-23T00:00:00"/>
        <d v="2023-11-12T00:00:00"/>
        <d v="2024-04-06T00:00:00"/>
        <d v="2021-10-08T00:00:00"/>
        <d v="2021-11-08T00:00:00"/>
        <d v="2021-04-03T00:00:00"/>
        <d v="2022-01-22T00:00:00"/>
        <d v="2023-09-28T00:00:00"/>
        <d v="2023-12-23T00:00:00"/>
        <d v="2022-03-23T00:00:00"/>
        <d v="2021-02-18T00:00:00"/>
        <d v="2021-06-19T00:00:00"/>
        <d v="2023-06-12T00:00:00"/>
        <d v="2023-06-10T00:00:00"/>
        <d v="2023-02-16T00:00:00"/>
        <d v="2023-03-20T00:00:00"/>
        <d v="2021-06-16T00:00:00"/>
        <d v="2022-06-09T00:00:00"/>
        <d v="2022-09-14T00:00:00"/>
        <d v="2022-12-01T00:00:00"/>
        <d v="2023-02-20T00:00:00"/>
        <d v="2021-11-21T00:00:00"/>
        <d v="2022-03-21T00:00:00"/>
        <d v="2023-12-17T00:00:00"/>
        <d v="2023-03-10T00:00:00"/>
        <d v="2022-04-19T00:00:00"/>
        <d v="2023-06-07T00:00:00"/>
        <d v="2022-07-15T00:00:00"/>
        <d v="2021-05-17T00:00:00"/>
        <d v="2022-02-25T00:00:00"/>
        <d v="2021-06-28T00:00:00"/>
        <d v="2023-09-25T00:00:00"/>
        <d v="2022-09-05T00:00:00"/>
        <d v="2021-05-13T00:00:00"/>
        <d v="2023-11-10T00:00:00"/>
        <d v="2022-08-07T00:00:00"/>
        <d v="2024-03-02T00:00:00"/>
        <d v="2022-06-20T00:00:00"/>
        <d v="2021-05-26T00:00:00"/>
        <d v="2022-03-31T00:00:00"/>
        <d v="2021-02-05T00:00:00"/>
        <d v="2021-05-18T00:00:00"/>
        <d v="2021-05-01T00:00:00"/>
        <d v="2021-11-25T00:00:00"/>
        <d v="2021-08-08T00:00:00"/>
        <d v="2022-03-28T00:00:00"/>
        <d v="2022-07-25T00:00:00"/>
        <d v="2021-11-19T00:00:00"/>
        <d v="2024-01-04T00:00:00"/>
        <d v="2021-01-17T00:00:00"/>
        <d v="2021-04-06T00:00:00"/>
        <d v="2022-06-29T00:00:00"/>
        <d v="2023-02-24T00:00:00"/>
        <d v="2022-07-23T00:00:00"/>
        <d v="2023-10-17T00:00:00"/>
        <d v="2021-12-28T00:00:00"/>
        <d v="2022-05-11T00:00:00"/>
        <d v="2022-08-18T00:00:00"/>
        <d v="2023-11-04T00:00:00"/>
        <d v="2021-12-29T00:00:00"/>
        <d v="2023-05-30T00:00:00"/>
        <d v="2021-10-09T00:00:00"/>
        <d v="2021-06-07T00:00:00"/>
        <d v="2021-11-09T00:00:00"/>
        <d v="2024-03-26T00:00:00"/>
        <d v="2024-02-05T00:00:00"/>
        <d v="2022-12-20T00:00:00"/>
        <d v="2023-08-30T00:00:00"/>
        <d v="2023-11-06T00:00:00"/>
        <d v="2022-05-21T00:00:00"/>
        <d v="2023-07-03T00:00:00"/>
        <d v="2023-06-23T00:00:00"/>
        <d v="2022-06-19T00:00:00"/>
        <d v="2022-01-16T00:00:00"/>
        <d v="2023-03-09T00:00:00"/>
        <d v="2023-12-11T00:00:00"/>
        <d v="2021-11-18T00:00:00"/>
        <d v="2021-07-23T00:00:00"/>
        <d v="2022-07-29T00:00:00"/>
        <d v="2023-03-04T00:00:00"/>
        <d v="2022-05-29T00:00:00"/>
        <d v="2024-03-27T00:00:00"/>
        <d v="2022-11-18T00:00:00"/>
        <d v="2023-11-30T00:00:00"/>
        <d v="2022-12-19T00:00:00"/>
        <d v="2022-03-16T00:00:00"/>
        <d v="2021-12-15T00:00:00"/>
        <d v="2022-05-20T00:00:00"/>
        <d v="2022-02-13T00:00:00"/>
        <d v="2023-09-01T00:00:00"/>
        <d v="2024-01-06T00:00:00"/>
        <d v="2024-01-24T00:00:00"/>
        <d v="2022-03-17T00:00:00"/>
        <d v="2023-09-17T00:00:00"/>
        <d v="2021-12-09T00:00:00"/>
        <d v="2021-08-01T00:00:00"/>
        <d v="2021-12-25T00:00:00"/>
        <d v="2023-11-17T00:00:00"/>
        <d v="2023-07-28T00:00:00"/>
        <d v="2024-04-04T00:00:00"/>
        <d v="2023-02-08T00:00:00"/>
        <d v="2021-09-24T00:00:00"/>
        <d v="2021-10-05T00:00:00"/>
        <d v="2022-09-22T00:00:00"/>
        <d v="2022-07-16T00:00:00"/>
        <d v="2021-11-22T00:00:00"/>
        <d v="2021-06-09T00:00:00"/>
        <d v="2021-12-24T00:00:00"/>
        <d v="2021-07-18T00:00:00"/>
        <d v="2023-12-26T00:00:00"/>
        <d v="2024-04-09T00:00:00"/>
        <d v="2022-10-08T00:00:00"/>
        <d v="2022-09-16T00:00:00"/>
        <d v="2021-06-14T00:00:00"/>
        <d v="2024-03-22T00:00:00"/>
        <d v="2021-09-01T00:00:00"/>
        <d v="2022-05-23T00:00:00"/>
        <d v="2023-08-25T00:00:00"/>
        <d v="2023-03-28T00:00:00"/>
        <d v="2022-07-03T00:00:00"/>
        <d v="2022-09-15T00:00:00"/>
        <d v="2022-03-05T00:00:00"/>
        <d v="2022-12-25T00:00:00"/>
        <d v="2023-12-04T00:00:00"/>
        <d v="2024-04-02T00:00:00"/>
        <d v="2023-03-01T00:00:00"/>
        <d v="2022-12-18T00:00:00"/>
        <d v="2023-03-06T00:00:00"/>
        <d v="2023-02-05T00:00:00"/>
        <d v="2021-12-12T00:00:00"/>
        <d v="2021-12-08T00:00:00"/>
        <d v="2023-10-26T00:00:00"/>
        <d v="2022-11-27T00:00:00"/>
        <d v="2021-02-02T00:00:00"/>
        <d v="2022-09-19T00:00:00"/>
        <d v="2021-01-12T00:00:00"/>
        <d v="2023-06-20T00:00:00"/>
        <d v="2023-09-15T00:00:00"/>
        <d v="2022-07-10T00:00:00"/>
        <d v="2023-12-18T00:00:00"/>
        <d v="2021-02-24T00:00:00"/>
        <d v="2021-07-12T00:00:00"/>
        <d v="2024-03-12T00:00:00"/>
        <d v="2021-02-16T00:00:00"/>
        <d v="2022-11-17T00:00:00"/>
        <d v="2023-09-04T00:00:00"/>
        <d v="2023-09-20T00:00:00"/>
        <d v="2022-10-31T00:00:00"/>
        <d v="2021-08-04T00:00:00"/>
        <d v="2022-10-14T00:00:00"/>
        <d v="2022-11-03T00:00:00"/>
        <d v="2021-10-04T00:00:00"/>
        <d v="2023-03-08T00:00:00"/>
        <d v="2021-05-12T00:00:00"/>
        <d v="2022-12-24T00:00:00"/>
        <d v="2021-10-18T00:00:00"/>
        <d v="2021-04-21T00:00:00"/>
        <d v="2021-03-07T00:00:00"/>
        <d v="2023-05-14T00:00:00"/>
        <d v="2022-05-01T00:00:00"/>
        <d v="2021-07-24T00:00:00"/>
        <d v="2022-04-13T00:00:00"/>
        <d v="2022-05-13T00:00:00"/>
        <d v="2022-11-30T00:00:00"/>
        <d v="2023-06-19T00:00:00"/>
        <d v="2022-06-11T00:00:00"/>
        <d v="2021-06-11T00:00:00"/>
        <d v="2021-06-02T00:00:00"/>
        <d v="2022-06-17T00:00:00"/>
        <d v="2021-06-27T00:00:00"/>
        <d v="2021-01-21T00:00:00"/>
        <d v="2022-03-24T00:00:00"/>
        <d v="2021-05-02T00:00:00"/>
        <d v="2023-07-07T00:00:00"/>
        <d v="2023-09-27T00:00:00"/>
        <d v="2021-07-16T00:00:00"/>
        <d v="2022-10-15T00:00:00"/>
        <d v="2021-03-30T00:00:00"/>
        <d v="2022-05-27T00:00:00"/>
        <d v="2021-10-13T00:00:00"/>
        <d v="2023-06-30T00:00:00"/>
        <d v="2021-07-19T00:00:00"/>
        <d v="2021-05-24T00:00:00"/>
        <d v="2023-05-10T00:00:00"/>
        <d v="2022-01-14T00:00:00"/>
        <d v="2021-11-03T00:00:00"/>
        <d v="2023-01-15T00:00:00"/>
        <d v="2022-12-30T00:00:00"/>
        <d v="2023-01-31T00:00:00"/>
        <d v="2023-04-24T00:00:00"/>
        <d v="2024-02-13T00:00:00"/>
        <d v="2024-01-05T00:00:00"/>
        <d v="2022-12-26T00:00:00"/>
        <d v="2023-08-24T00:00:00"/>
        <d v="2024-04-11T00:00:00"/>
        <d v="2023-05-29T00:00:00"/>
        <d v="2024-02-22T00:00:00"/>
        <d v="2021-03-20T00:00:00"/>
        <d v="2022-09-12T00:00:00"/>
        <d v="2023-04-14T00:00:00"/>
        <d v="2021-08-19T00:00:00"/>
        <d v="2021-01-14T00:00:00"/>
        <d v="2023-06-18T00:00:00"/>
        <d v="2024-03-23T00:00:00"/>
        <d v="2023-05-28T00:00:00"/>
        <d v="2022-01-06T00:00:00"/>
        <d v="2021-10-26T00:00:00"/>
        <d v="2022-02-06T00:00:00"/>
        <d v="2022-01-30T00:00:00"/>
        <d v="2024-03-16T00:00:00"/>
        <d v="2022-07-19T00:00:00"/>
        <d v="2022-08-09T00:00:00"/>
        <d v="2022-02-09T00:00:00"/>
        <d v="2021-10-16T00:00:00"/>
        <d v="2021-09-23T00:00:00"/>
        <d v="2022-10-26T00:00:00"/>
        <d v="2021-09-30T00:00:00"/>
        <d v="2022-10-20T00:00:00"/>
        <d v="2022-12-03T00:00:00"/>
        <d v="2024-04-01T00:00:00"/>
        <d v="2022-02-01T00:00:00"/>
        <d v="2021-02-13T00:00:00"/>
        <d v="2022-05-12T00:00:00"/>
        <d v="2021-11-01T00:00:00"/>
        <d v="2024-02-19T00:00:00"/>
        <d v="2024-01-03T00:00:00"/>
        <d v="2024-02-06T00:00:00"/>
        <d v="2023-01-17T00:00:00"/>
        <d v="2021-10-01T00:00:00"/>
        <d v="2022-12-13T00:00:00"/>
        <d v="2022-04-09T00:00:00"/>
        <d v="2021-06-06T00:00:00"/>
        <d v="2023-08-12T00:00:00"/>
        <d v="2022-08-30T00:00:00"/>
        <d v="2022-02-17T00:00:00"/>
        <d v="2022-05-25T00:00:00"/>
        <d v="2023-11-25T00:00:00"/>
        <d v="2021-07-03T00:00:00"/>
        <d v="2021-09-17T00:00:00"/>
        <d v="2021-10-23T00:00:00"/>
        <d v="2024-03-31T00:00:00"/>
        <d v="2022-08-31T00:00:00"/>
        <d v="2021-06-22T00:00:00"/>
        <d v="2024-03-21T00:00:00"/>
        <d v="2022-02-26T00:00:00"/>
        <d v="2021-11-26T00:00:00"/>
        <d v="2022-10-28T00:00:00"/>
        <d v="2022-04-04T00:00:00"/>
        <d v="2021-06-20T00:00:00"/>
        <d v="2022-03-30T00:00:00"/>
        <d v="2023-01-08T00:00:00"/>
        <d v="2024-04-13T00:00:00"/>
        <d v="2022-12-05T00:00:00"/>
        <d v="2021-09-12T00:00:00"/>
        <d v="2021-03-25T00:00:00"/>
        <d v="2022-11-07T00:00:00"/>
        <d v="2022-08-24T00:00:00"/>
        <d v="2021-03-29T00:00:00"/>
        <d v="2021-04-05T00:00:00"/>
        <d v="2022-10-30T00:00:00"/>
        <d v="2021-05-27T00:00:00"/>
        <d v="2022-08-03T00:00:00"/>
        <d v="2023-10-14T00:00:00"/>
        <d v="2021-04-17T00:00:00"/>
        <d v="2022-05-18T00:00:00"/>
        <d v="2023-12-13T00:00:00"/>
        <d v="2021-08-23T00:00:00"/>
        <d v="2021-02-17T00:00:00"/>
        <d v="2023-10-03T00:00:00"/>
        <d v="2023-11-20T00:00:00"/>
        <d v="2022-12-21T00:00:00"/>
        <d v="2021-06-08T00:00:00"/>
        <d v="2022-12-11T00:00:00"/>
        <d v="2021-09-07T00:00:00"/>
        <d v="2022-03-25T00:00:00"/>
        <d v="2023-01-04T00:00:00"/>
        <d v="2021-02-12T00:00:00"/>
        <d v="2022-05-24T00:00:00"/>
        <d v="2023-12-06T00:00:00"/>
        <d v="2024-01-26T00:00:00"/>
        <d v="2022-09-07T00:00:00"/>
        <d v="2022-07-08T00:00:00"/>
        <d v="2024-02-29T00:00:00"/>
        <d v="2021-01-04T00:00:00"/>
        <d v="2022-12-09T00:00:00"/>
        <d v="2023-10-12T00:00:00"/>
        <d v="2024-01-14T00:00:00"/>
        <d v="2023-09-14T00:00:00"/>
        <d v="2023-09-10T00:00:00"/>
        <d v="2023-05-06T00:00:00"/>
        <d v="2023-03-07T00:00:00"/>
        <d v="2023-07-25T00:00:00"/>
        <d v="2024-01-16T00:00:00"/>
        <d v="2023-12-15T00:00:00"/>
        <d v="2022-01-15T00:00:00"/>
        <d v="2021-11-28T00:00:00"/>
        <d v="2023-04-30T00:00:00"/>
        <d v="2022-07-18T00:00:00"/>
        <d v="2021-05-11T00:00:00"/>
        <d v="2022-12-27T00:00:00"/>
        <d v="2023-11-18T00:00:00"/>
        <d v="2024-03-14T00:00:00"/>
        <d v="2021-01-02T00:00:00"/>
        <d v="2022-12-29T00:00:00"/>
        <d v="2023-01-01T00:00:00"/>
        <d v="2022-03-03T00:00:00"/>
        <d v="2022-09-17T00:00:00"/>
        <d v="2023-10-06T00:00:00"/>
        <d v="2023-01-23T00:00:00"/>
        <d v="2021-04-02T00:00:00"/>
        <d v="2022-08-29T00:00:00"/>
        <d v="2022-11-19T00:00:00"/>
        <d v="2023-06-14T00:00:00"/>
        <d v="2021-04-22T00:00:00"/>
        <d v="2022-04-27T00:00:00"/>
        <d v="2022-01-10T00:00:00"/>
        <d v="2022-01-18T00:00:00"/>
        <d v="2023-04-05T00:00:00"/>
        <d v="2022-03-04T00:00:00"/>
        <d v="2021-12-23T00:00:00"/>
        <d v="2021-09-03T00:00:00"/>
        <d v="2023-11-13T00:00:00"/>
        <d v="2021-10-03T00:00:00"/>
        <d v="2024-04-15T00:00:00"/>
        <d v="2023-03-22T00:00:00"/>
        <d v="2023-05-05T00:00:00"/>
        <d v="2022-03-27T00:00:00"/>
        <d v="2024-03-15T00:00:00"/>
        <d v="2022-03-08T00:00:00"/>
        <d v="2023-11-21T00:00:00"/>
        <d v="2021-09-21T00:00:00"/>
        <d v="2021-02-19T00:00:00"/>
        <d v="2021-02-25T00:00:00"/>
        <d v="2021-07-07T00:00:00"/>
        <d v="2021-11-07T00:00:00"/>
        <d v="2021-03-15T00:00:00"/>
        <d v="2023-08-15T00:00:00"/>
        <d v="2021-07-04T00:00:00"/>
      </sharedItems>
      <fieldGroup par="17"/>
    </cacheField>
    <cacheField name="Interview_Date" numFmtId="14">
      <sharedItems containsSemiMixedTypes="0" containsNonDate="0" containsDate="1" containsString="0" minDate="2021-01-11T00:00:00" maxDate="2024-04-29T00:00:00"/>
    </cacheField>
    <cacheField name="Offer_Date" numFmtId="0">
      <sharedItems containsNonDate="0" containsDate="1" containsString="0" containsBlank="1" minDate="2021-01-17T00:00:00" maxDate="2024-05-03T00:00:00"/>
    </cacheField>
    <cacheField name="Experience_Years" numFmtId="0">
      <sharedItems containsSemiMixedTypes="0" containsString="0" containsNumber="1" containsInteger="1" minValue="1" maxValue="5" count="5">
        <n v="1"/>
        <n v="3"/>
        <n v="4"/>
        <n v="5"/>
        <n v="2"/>
      </sharedItems>
    </cacheField>
    <cacheField name="Notice_Period_Days" numFmtId="0">
      <sharedItems containsSemiMixedTypes="0" containsString="0" containsNumber="1" containsInteger="1" minValue="2" maxValue="10"/>
    </cacheField>
    <cacheField name="Final_Status" numFmtId="0">
      <sharedItems count="4">
        <s v="Rejected"/>
        <s v="Offer Declined"/>
        <s v="Selected"/>
        <s v="In Process"/>
      </sharedItems>
    </cacheField>
    <cacheField name="Offered_Salary" numFmtId="0">
      <sharedItems containsSemiMixedTypes="0" containsString="0" containsNumber="1" containsInteger="1" minValue="301065" maxValue="1199917"/>
    </cacheField>
    <cacheField name="Months (Application_Date)" numFmtId="0" databaseField="0">
      <fieldGroup base="8">
        <rangePr groupBy="months" startDate="2021-01-02T00:00:00" endDate="2024-04-16T00:00:00"/>
        <groupItems count="14">
          <s v="&lt;02-01-2021"/>
          <s v="Jan"/>
          <s v="Feb"/>
          <s v="Mar"/>
          <s v="Apr"/>
          <s v="May"/>
          <s v="Jun"/>
          <s v="Jul"/>
          <s v="Aug"/>
          <s v="Sep"/>
          <s v="Oct"/>
          <s v="Nov"/>
          <s v="Dec"/>
          <s v="&gt;16-04-2024"/>
        </groupItems>
      </fieldGroup>
    </cacheField>
    <cacheField name="Quarters (Application_Date)" numFmtId="0" databaseField="0">
      <fieldGroup base="8">
        <rangePr groupBy="quarters" startDate="2021-01-02T00:00:00" endDate="2024-04-16T00:00:00"/>
        <groupItems count="6">
          <s v="&lt;02-01-2021"/>
          <s v="Qtr1"/>
          <s v="Qtr2"/>
          <s v="Qtr3"/>
          <s v="Qtr4"/>
          <s v="&gt;16-04-2024"/>
        </groupItems>
      </fieldGroup>
    </cacheField>
    <cacheField name="Years (Application_Date)" numFmtId="0" databaseField="0">
      <fieldGroup base="8">
        <rangePr groupBy="years" startDate="2021-01-02T00:00:00" endDate="2024-04-16T00:00:00"/>
        <groupItems count="6">
          <s v="&lt;02-01-2021"/>
          <s v="2021"/>
          <s v="2022"/>
          <s v="2023"/>
          <s v="2024"/>
          <s v="&gt;16-04-2024"/>
        </groupItems>
      </fieldGroup>
    </cacheField>
  </cacheFields>
  <extLst>
    <ext xmlns:x14="http://schemas.microsoft.com/office/spreadsheetml/2009/9/main" uri="{725AE2AE-9491-48be-B2B4-4EB974FC3084}">
      <x14:pivotCacheDefinition pivotCacheId="399423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ND100000"/>
    <s v="Rohit"/>
    <s v="Mehta"/>
    <x v="0"/>
    <n v="45"/>
    <x v="0"/>
    <x v="0"/>
    <x v="0"/>
    <x v="0"/>
    <d v="2022-09-06T00:00:00"/>
    <d v="2022-09-13T00:00:00"/>
    <x v="0"/>
    <n v="8"/>
    <x v="0"/>
    <n v="446971"/>
  </r>
  <r>
    <s v="CAND100001"/>
    <s v="Amit"/>
    <s v="Reddy"/>
    <x v="1"/>
    <n v="45"/>
    <x v="0"/>
    <x v="1"/>
    <x v="0"/>
    <x v="1"/>
    <d v="2022-03-20T00:00:00"/>
    <m/>
    <x v="1"/>
    <n v="4"/>
    <x v="1"/>
    <n v="1099288"/>
  </r>
  <r>
    <s v="CAND100002"/>
    <s v="Amit"/>
    <s v="Joshi"/>
    <x v="0"/>
    <n v="21"/>
    <x v="1"/>
    <x v="1"/>
    <x v="0"/>
    <x v="2"/>
    <d v="2022-07-07T00:00:00"/>
    <m/>
    <x v="2"/>
    <n v="3"/>
    <x v="1"/>
    <n v="1159035"/>
  </r>
  <r>
    <s v="CAND100003"/>
    <s v="Pooja"/>
    <s v="Joshi"/>
    <x v="1"/>
    <n v="26"/>
    <x v="2"/>
    <x v="2"/>
    <x v="1"/>
    <x v="3"/>
    <d v="2023-01-19T00:00:00"/>
    <m/>
    <x v="3"/>
    <n v="4"/>
    <x v="1"/>
    <n v="970623"/>
  </r>
  <r>
    <s v="CAND100004"/>
    <s v="Vikas"/>
    <s v="Joshi"/>
    <x v="1"/>
    <n v="40"/>
    <x v="3"/>
    <x v="1"/>
    <x v="2"/>
    <x v="4"/>
    <d v="2022-09-08T00:00:00"/>
    <d v="2022-09-14T00:00:00"/>
    <x v="2"/>
    <n v="10"/>
    <x v="1"/>
    <n v="788158"/>
  </r>
  <r>
    <s v="CAND100005"/>
    <s v="Neha"/>
    <s v="Kapoor"/>
    <x v="1"/>
    <n v="26"/>
    <x v="2"/>
    <x v="3"/>
    <x v="1"/>
    <x v="5"/>
    <d v="2022-03-05T00:00:00"/>
    <d v="2022-03-12T00:00:00"/>
    <x v="4"/>
    <n v="7"/>
    <x v="2"/>
    <n v="639010"/>
  </r>
  <r>
    <s v="CAND100006"/>
    <s v="Rahul"/>
    <s v="Kapoor"/>
    <x v="0"/>
    <n v="21"/>
    <x v="3"/>
    <x v="3"/>
    <x v="0"/>
    <x v="6"/>
    <d v="2021-10-29T00:00:00"/>
    <m/>
    <x v="1"/>
    <n v="6"/>
    <x v="3"/>
    <n v="1139265"/>
  </r>
  <r>
    <s v="CAND100007"/>
    <s v="Vikas"/>
    <s v="Singh"/>
    <x v="0"/>
    <n v="38"/>
    <x v="3"/>
    <x v="0"/>
    <x v="3"/>
    <x v="7"/>
    <d v="2023-06-30T00:00:00"/>
    <d v="2023-07-04T00:00:00"/>
    <x v="1"/>
    <n v="4"/>
    <x v="0"/>
    <n v="383977"/>
  </r>
  <r>
    <s v="CAND100008"/>
    <s v="Amit"/>
    <s v="Iyer"/>
    <x v="0"/>
    <n v="41"/>
    <x v="2"/>
    <x v="2"/>
    <x v="4"/>
    <x v="8"/>
    <d v="2023-05-26T00:00:00"/>
    <m/>
    <x v="4"/>
    <n v="9"/>
    <x v="3"/>
    <n v="1195627"/>
  </r>
  <r>
    <s v="CAND100009"/>
    <s v="Rohit"/>
    <s v="Kapoor"/>
    <x v="1"/>
    <n v="45"/>
    <x v="4"/>
    <x v="3"/>
    <x v="1"/>
    <x v="9"/>
    <d v="2021-10-09T00:00:00"/>
    <m/>
    <x v="4"/>
    <n v="4"/>
    <x v="0"/>
    <n v="613825"/>
  </r>
  <r>
    <s v="CAND100010"/>
    <s v="Priya"/>
    <s v="Sharma"/>
    <x v="1"/>
    <n v="37"/>
    <x v="4"/>
    <x v="4"/>
    <x v="3"/>
    <x v="10"/>
    <d v="2023-07-05T00:00:00"/>
    <d v="2023-07-11T00:00:00"/>
    <x v="0"/>
    <n v="10"/>
    <x v="2"/>
    <n v="358531"/>
  </r>
  <r>
    <s v="CAND100011"/>
    <s v="Rahul"/>
    <s v="Joshi"/>
    <x v="0"/>
    <n v="23"/>
    <x v="0"/>
    <x v="3"/>
    <x v="3"/>
    <x v="11"/>
    <d v="2023-10-11T00:00:00"/>
    <m/>
    <x v="4"/>
    <n v="9"/>
    <x v="3"/>
    <n v="856687"/>
  </r>
  <r>
    <s v="CAND100012"/>
    <s v="Ankit"/>
    <s v="Mehta"/>
    <x v="0"/>
    <n v="29"/>
    <x v="4"/>
    <x v="2"/>
    <x v="1"/>
    <x v="12"/>
    <d v="2021-02-14T00:00:00"/>
    <d v="2021-02-16T00:00:00"/>
    <x v="2"/>
    <n v="5"/>
    <x v="2"/>
    <n v="1007409"/>
  </r>
  <r>
    <s v="CAND100013"/>
    <s v="Karan"/>
    <s v="Verma"/>
    <x v="0"/>
    <n v="23"/>
    <x v="4"/>
    <x v="4"/>
    <x v="0"/>
    <x v="13"/>
    <d v="2022-11-20T00:00:00"/>
    <m/>
    <x v="4"/>
    <n v="10"/>
    <x v="0"/>
    <n v="903254"/>
  </r>
  <r>
    <s v="CAND100014"/>
    <s v="Ankit"/>
    <s v="Kapoor"/>
    <x v="0"/>
    <n v="31"/>
    <x v="2"/>
    <x v="2"/>
    <x v="3"/>
    <x v="14"/>
    <d v="2022-02-01T00:00:00"/>
    <d v="2022-02-03T00:00:00"/>
    <x v="0"/>
    <n v="8"/>
    <x v="2"/>
    <n v="736241"/>
  </r>
  <r>
    <s v="CAND100015"/>
    <s v="Vikas"/>
    <s v="Patel"/>
    <x v="0"/>
    <n v="22"/>
    <x v="3"/>
    <x v="1"/>
    <x v="0"/>
    <x v="15"/>
    <d v="2022-01-05T00:00:00"/>
    <d v="2022-01-10T00:00:00"/>
    <x v="2"/>
    <n v="9"/>
    <x v="0"/>
    <n v="892190"/>
  </r>
  <r>
    <s v="CAND100016"/>
    <s v="Ankit"/>
    <s v="Mehta"/>
    <x v="0"/>
    <n v="44"/>
    <x v="0"/>
    <x v="1"/>
    <x v="3"/>
    <x v="16"/>
    <d v="2022-11-04T00:00:00"/>
    <d v="2022-11-08T00:00:00"/>
    <x v="0"/>
    <n v="10"/>
    <x v="2"/>
    <n v="441348"/>
  </r>
  <r>
    <s v="CAND100017"/>
    <s v="Sneha"/>
    <s v="Sharma"/>
    <x v="0"/>
    <n v="27"/>
    <x v="3"/>
    <x v="0"/>
    <x v="3"/>
    <x v="17"/>
    <d v="2022-03-12T00:00:00"/>
    <m/>
    <x v="3"/>
    <n v="5"/>
    <x v="0"/>
    <n v="504484"/>
  </r>
  <r>
    <s v="CAND100018"/>
    <s v="Ankit"/>
    <s v="Mehta"/>
    <x v="1"/>
    <n v="38"/>
    <x v="5"/>
    <x v="1"/>
    <x v="1"/>
    <x v="18"/>
    <d v="2023-02-07T00:00:00"/>
    <m/>
    <x v="1"/>
    <n v="7"/>
    <x v="2"/>
    <n v="834260"/>
  </r>
  <r>
    <s v="CAND100019"/>
    <s v="Karan"/>
    <s v="Reddy"/>
    <x v="1"/>
    <n v="28"/>
    <x v="1"/>
    <x v="1"/>
    <x v="3"/>
    <x v="19"/>
    <d v="2023-07-01T00:00:00"/>
    <m/>
    <x v="4"/>
    <n v="3"/>
    <x v="3"/>
    <n v="375865"/>
  </r>
  <r>
    <s v="CAND100020"/>
    <s v="Rohit"/>
    <s v="Reddy"/>
    <x v="0"/>
    <n v="36"/>
    <x v="2"/>
    <x v="1"/>
    <x v="0"/>
    <x v="20"/>
    <d v="2023-12-06T00:00:00"/>
    <d v="2023-12-12T00:00:00"/>
    <x v="4"/>
    <n v="3"/>
    <x v="2"/>
    <n v="361381"/>
  </r>
  <r>
    <s v="CAND100021"/>
    <s v="Neha"/>
    <s v="Joshi"/>
    <x v="1"/>
    <n v="43"/>
    <x v="4"/>
    <x v="2"/>
    <x v="0"/>
    <x v="18"/>
    <d v="2023-01-28T00:00:00"/>
    <d v="2023-01-31T00:00:00"/>
    <x v="4"/>
    <n v="8"/>
    <x v="2"/>
    <n v="892988"/>
  </r>
  <r>
    <s v="CAND100022"/>
    <s v="Neha"/>
    <s v="Iyer"/>
    <x v="0"/>
    <n v="29"/>
    <x v="3"/>
    <x v="0"/>
    <x v="3"/>
    <x v="21"/>
    <d v="2023-09-12T00:00:00"/>
    <d v="2023-09-16T00:00:00"/>
    <x v="4"/>
    <n v="8"/>
    <x v="1"/>
    <n v="421549"/>
  </r>
  <r>
    <s v="CAND100023"/>
    <s v="Sneha"/>
    <s v="Sharma"/>
    <x v="0"/>
    <n v="33"/>
    <x v="0"/>
    <x v="2"/>
    <x v="1"/>
    <x v="22"/>
    <d v="2021-06-07T00:00:00"/>
    <d v="2021-06-10T00:00:00"/>
    <x v="1"/>
    <n v="2"/>
    <x v="3"/>
    <n v="424561"/>
  </r>
  <r>
    <s v="CAND100024"/>
    <s v="Ankit"/>
    <s v="Mehta"/>
    <x v="0"/>
    <n v="31"/>
    <x v="4"/>
    <x v="3"/>
    <x v="2"/>
    <x v="23"/>
    <d v="2022-05-01T00:00:00"/>
    <m/>
    <x v="3"/>
    <n v="7"/>
    <x v="3"/>
    <n v="775095"/>
  </r>
  <r>
    <s v="CAND100025"/>
    <s v="Rohit"/>
    <s v="Joshi"/>
    <x v="0"/>
    <n v="26"/>
    <x v="1"/>
    <x v="0"/>
    <x v="2"/>
    <x v="24"/>
    <d v="2024-02-06T00:00:00"/>
    <d v="2024-02-08T00:00:00"/>
    <x v="2"/>
    <n v="3"/>
    <x v="0"/>
    <n v="437143"/>
  </r>
  <r>
    <s v="CAND100026"/>
    <s v="Rohit"/>
    <s v="Verma"/>
    <x v="0"/>
    <n v="41"/>
    <x v="1"/>
    <x v="1"/>
    <x v="3"/>
    <x v="25"/>
    <d v="2023-08-23T00:00:00"/>
    <m/>
    <x v="0"/>
    <n v="10"/>
    <x v="1"/>
    <n v="839210"/>
  </r>
  <r>
    <s v="CAND100027"/>
    <s v="Priya"/>
    <s v="Joshi"/>
    <x v="1"/>
    <n v="35"/>
    <x v="4"/>
    <x v="1"/>
    <x v="4"/>
    <x v="26"/>
    <d v="2021-08-04T00:00:00"/>
    <d v="2021-08-11T00:00:00"/>
    <x v="1"/>
    <n v="7"/>
    <x v="1"/>
    <n v="1183679"/>
  </r>
  <r>
    <s v="CAND100028"/>
    <s v="Pooja"/>
    <s v="Verma"/>
    <x v="0"/>
    <n v="39"/>
    <x v="5"/>
    <x v="2"/>
    <x v="1"/>
    <x v="27"/>
    <d v="2021-05-24T00:00:00"/>
    <m/>
    <x v="4"/>
    <n v="2"/>
    <x v="3"/>
    <n v="867285"/>
  </r>
  <r>
    <s v="CAND100029"/>
    <s v="Ankit"/>
    <s v="Iyer"/>
    <x v="0"/>
    <n v="42"/>
    <x v="4"/>
    <x v="3"/>
    <x v="4"/>
    <x v="28"/>
    <d v="2024-02-18T00:00:00"/>
    <m/>
    <x v="1"/>
    <n v="6"/>
    <x v="0"/>
    <n v="445386"/>
  </r>
  <r>
    <s v="CAND100030"/>
    <s v="Vikas"/>
    <s v="Reddy"/>
    <x v="1"/>
    <n v="25"/>
    <x v="1"/>
    <x v="2"/>
    <x v="2"/>
    <x v="29"/>
    <d v="2022-12-09T00:00:00"/>
    <d v="2022-12-13T00:00:00"/>
    <x v="2"/>
    <n v="10"/>
    <x v="2"/>
    <n v="305781"/>
  </r>
  <r>
    <s v="CAND100031"/>
    <s v="Amit"/>
    <s v="Verma"/>
    <x v="0"/>
    <n v="27"/>
    <x v="1"/>
    <x v="3"/>
    <x v="2"/>
    <x v="30"/>
    <d v="2022-10-26T00:00:00"/>
    <m/>
    <x v="0"/>
    <n v="6"/>
    <x v="0"/>
    <n v="939304"/>
  </r>
  <r>
    <s v="CAND100032"/>
    <s v="Amit"/>
    <s v="Reddy"/>
    <x v="1"/>
    <n v="24"/>
    <x v="5"/>
    <x v="0"/>
    <x v="4"/>
    <x v="31"/>
    <d v="2023-05-02T00:00:00"/>
    <d v="2023-05-09T00:00:00"/>
    <x v="1"/>
    <n v="7"/>
    <x v="3"/>
    <n v="1118251"/>
  </r>
  <r>
    <s v="CAND100033"/>
    <s v="Vikas"/>
    <s v="Verma"/>
    <x v="1"/>
    <n v="23"/>
    <x v="4"/>
    <x v="3"/>
    <x v="2"/>
    <x v="32"/>
    <d v="2022-07-09T00:00:00"/>
    <m/>
    <x v="4"/>
    <n v="4"/>
    <x v="3"/>
    <n v="1110386"/>
  </r>
  <r>
    <s v="CAND100034"/>
    <s v="Neha"/>
    <s v="Singh"/>
    <x v="1"/>
    <n v="21"/>
    <x v="1"/>
    <x v="3"/>
    <x v="4"/>
    <x v="33"/>
    <d v="2022-02-03T00:00:00"/>
    <d v="2022-02-09T00:00:00"/>
    <x v="2"/>
    <n v="3"/>
    <x v="2"/>
    <n v="743441"/>
  </r>
  <r>
    <s v="CAND100035"/>
    <s v="Amit"/>
    <s v="Singh"/>
    <x v="0"/>
    <n v="24"/>
    <x v="3"/>
    <x v="4"/>
    <x v="3"/>
    <x v="34"/>
    <d v="2022-12-21T00:00:00"/>
    <m/>
    <x v="1"/>
    <n v="8"/>
    <x v="1"/>
    <n v="621160"/>
  </r>
  <r>
    <s v="CAND100036"/>
    <s v="Rahul"/>
    <s v="Reddy"/>
    <x v="1"/>
    <n v="41"/>
    <x v="5"/>
    <x v="2"/>
    <x v="1"/>
    <x v="35"/>
    <d v="2023-05-19T00:00:00"/>
    <d v="2023-05-21T00:00:00"/>
    <x v="4"/>
    <n v="9"/>
    <x v="0"/>
    <n v="748915"/>
  </r>
  <r>
    <s v="CAND100037"/>
    <s v="Rohit"/>
    <s v="Gupta"/>
    <x v="0"/>
    <n v="39"/>
    <x v="0"/>
    <x v="4"/>
    <x v="3"/>
    <x v="36"/>
    <d v="2023-02-21T00:00:00"/>
    <d v="2023-02-28T00:00:00"/>
    <x v="4"/>
    <n v="4"/>
    <x v="2"/>
    <n v="782704"/>
  </r>
  <r>
    <s v="CAND100038"/>
    <s v="Rahul"/>
    <s v="Kapoor"/>
    <x v="0"/>
    <n v="36"/>
    <x v="0"/>
    <x v="0"/>
    <x v="0"/>
    <x v="37"/>
    <d v="2022-11-16T00:00:00"/>
    <d v="2022-11-22T00:00:00"/>
    <x v="2"/>
    <n v="6"/>
    <x v="2"/>
    <n v="901860"/>
  </r>
  <r>
    <s v="CAND100039"/>
    <s v="Rohit"/>
    <s v="Sharma"/>
    <x v="0"/>
    <n v="37"/>
    <x v="4"/>
    <x v="1"/>
    <x v="1"/>
    <x v="38"/>
    <d v="2023-01-24T00:00:00"/>
    <m/>
    <x v="3"/>
    <n v="8"/>
    <x v="1"/>
    <n v="797827"/>
  </r>
  <r>
    <s v="CAND100040"/>
    <s v="Vikas"/>
    <s v="Reddy"/>
    <x v="1"/>
    <n v="24"/>
    <x v="0"/>
    <x v="1"/>
    <x v="3"/>
    <x v="39"/>
    <d v="2024-01-07T00:00:00"/>
    <m/>
    <x v="2"/>
    <n v="6"/>
    <x v="1"/>
    <n v="951893"/>
  </r>
  <r>
    <s v="CAND100041"/>
    <s v="Karan"/>
    <s v="Mehta"/>
    <x v="0"/>
    <n v="44"/>
    <x v="3"/>
    <x v="0"/>
    <x v="1"/>
    <x v="40"/>
    <d v="2022-11-06T00:00:00"/>
    <m/>
    <x v="0"/>
    <n v="10"/>
    <x v="1"/>
    <n v="661804"/>
  </r>
  <r>
    <s v="CAND100042"/>
    <s v="Neha"/>
    <s v="Iyer"/>
    <x v="1"/>
    <n v="27"/>
    <x v="0"/>
    <x v="0"/>
    <x v="1"/>
    <x v="41"/>
    <d v="2021-03-29T00:00:00"/>
    <d v="2021-04-03T00:00:00"/>
    <x v="3"/>
    <n v="6"/>
    <x v="3"/>
    <n v="624330"/>
  </r>
  <r>
    <s v="CAND100043"/>
    <s v="Ankit"/>
    <s v="Patel"/>
    <x v="0"/>
    <n v="31"/>
    <x v="3"/>
    <x v="1"/>
    <x v="3"/>
    <x v="42"/>
    <d v="2023-04-28T00:00:00"/>
    <m/>
    <x v="0"/>
    <n v="4"/>
    <x v="3"/>
    <n v="1038308"/>
  </r>
  <r>
    <s v="CAND100044"/>
    <s v="Karan"/>
    <s v="Mehta"/>
    <x v="1"/>
    <n v="30"/>
    <x v="3"/>
    <x v="2"/>
    <x v="3"/>
    <x v="43"/>
    <d v="2022-11-29T00:00:00"/>
    <d v="2022-12-06T00:00:00"/>
    <x v="4"/>
    <n v="7"/>
    <x v="1"/>
    <n v="692050"/>
  </r>
  <r>
    <s v="CAND100045"/>
    <s v="Karan"/>
    <s v="Patel"/>
    <x v="1"/>
    <n v="43"/>
    <x v="0"/>
    <x v="1"/>
    <x v="2"/>
    <x v="44"/>
    <d v="2021-02-12T00:00:00"/>
    <m/>
    <x v="2"/>
    <n v="10"/>
    <x v="2"/>
    <n v="1069526"/>
  </r>
  <r>
    <s v="CAND100046"/>
    <s v="Pooja"/>
    <s v="Iyer"/>
    <x v="0"/>
    <n v="32"/>
    <x v="5"/>
    <x v="0"/>
    <x v="1"/>
    <x v="45"/>
    <d v="2022-12-05T00:00:00"/>
    <m/>
    <x v="0"/>
    <n v="7"/>
    <x v="2"/>
    <n v="526629"/>
  </r>
  <r>
    <s v="CAND100047"/>
    <s v="Priya"/>
    <s v="Singh"/>
    <x v="1"/>
    <n v="45"/>
    <x v="2"/>
    <x v="2"/>
    <x v="2"/>
    <x v="46"/>
    <d v="2023-06-15T00:00:00"/>
    <m/>
    <x v="1"/>
    <n v="8"/>
    <x v="2"/>
    <n v="410550"/>
  </r>
  <r>
    <s v="CAND100048"/>
    <s v="Karan"/>
    <s v="Singh"/>
    <x v="0"/>
    <n v="34"/>
    <x v="4"/>
    <x v="3"/>
    <x v="1"/>
    <x v="47"/>
    <d v="2023-04-08T00:00:00"/>
    <d v="2023-04-14T00:00:00"/>
    <x v="1"/>
    <n v="5"/>
    <x v="3"/>
    <n v="738369"/>
  </r>
  <r>
    <s v="CAND100049"/>
    <s v="Rahul"/>
    <s v="Mehta"/>
    <x v="0"/>
    <n v="25"/>
    <x v="0"/>
    <x v="0"/>
    <x v="1"/>
    <x v="48"/>
    <d v="2022-01-31T00:00:00"/>
    <d v="2022-02-06T00:00:00"/>
    <x v="3"/>
    <n v="4"/>
    <x v="1"/>
    <n v="606628"/>
  </r>
  <r>
    <s v="CAND100050"/>
    <s v="Neha"/>
    <s v="Mehta"/>
    <x v="1"/>
    <n v="33"/>
    <x v="3"/>
    <x v="4"/>
    <x v="1"/>
    <x v="49"/>
    <d v="2022-02-23T00:00:00"/>
    <m/>
    <x v="1"/>
    <n v="7"/>
    <x v="1"/>
    <n v="962919"/>
  </r>
  <r>
    <s v="CAND100051"/>
    <s v="Neha"/>
    <s v="Iyer"/>
    <x v="1"/>
    <n v="39"/>
    <x v="5"/>
    <x v="3"/>
    <x v="1"/>
    <x v="50"/>
    <d v="2023-10-31T00:00:00"/>
    <d v="2023-11-02T00:00:00"/>
    <x v="3"/>
    <n v="4"/>
    <x v="2"/>
    <n v="1141578"/>
  </r>
  <r>
    <s v="CAND100052"/>
    <s v="Neha"/>
    <s v="Kapoor"/>
    <x v="1"/>
    <n v="45"/>
    <x v="4"/>
    <x v="4"/>
    <x v="2"/>
    <x v="51"/>
    <d v="2021-03-28T00:00:00"/>
    <m/>
    <x v="1"/>
    <n v="2"/>
    <x v="3"/>
    <n v="1008513"/>
  </r>
  <r>
    <s v="CAND100053"/>
    <s v="Pooja"/>
    <s v="Sharma"/>
    <x v="0"/>
    <n v="39"/>
    <x v="2"/>
    <x v="4"/>
    <x v="1"/>
    <x v="52"/>
    <d v="2021-02-24T00:00:00"/>
    <d v="2021-02-28T00:00:00"/>
    <x v="3"/>
    <n v="9"/>
    <x v="1"/>
    <n v="846581"/>
  </r>
  <r>
    <s v="CAND100054"/>
    <s v="Rohit"/>
    <s v="Mehta"/>
    <x v="1"/>
    <n v="29"/>
    <x v="2"/>
    <x v="3"/>
    <x v="0"/>
    <x v="53"/>
    <d v="2021-08-20T00:00:00"/>
    <d v="2021-08-25T00:00:00"/>
    <x v="4"/>
    <n v="10"/>
    <x v="1"/>
    <n v="827194"/>
  </r>
  <r>
    <s v="CAND100055"/>
    <s v="Priya"/>
    <s v="Kapoor"/>
    <x v="1"/>
    <n v="37"/>
    <x v="5"/>
    <x v="2"/>
    <x v="0"/>
    <x v="6"/>
    <d v="2021-10-27T00:00:00"/>
    <m/>
    <x v="1"/>
    <n v="5"/>
    <x v="1"/>
    <n v="1038518"/>
  </r>
  <r>
    <s v="CAND100056"/>
    <s v="Ankit"/>
    <s v="Patel"/>
    <x v="1"/>
    <n v="43"/>
    <x v="0"/>
    <x v="0"/>
    <x v="1"/>
    <x v="54"/>
    <d v="2022-06-22T00:00:00"/>
    <m/>
    <x v="4"/>
    <n v="3"/>
    <x v="2"/>
    <n v="691707"/>
  </r>
  <r>
    <s v="CAND100057"/>
    <s v="Rahul"/>
    <s v="Iyer"/>
    <x v="0"/>
    <n v="37"/>
    <x v="3"/>
    <x v="4"/>
    <x v="4"/>
    <x v="55"/>
    <d v="2021-06-18T00:00:00"/>
    <m/>
    <x v="0"/>
    <n v="5"/>
    <x v="1"/>
    <n v="1026283"/>
  </r>
  <r>
    <s v="CAND100058"/>
    <s v="Pooja"/>
    <s v="Joshi"/>
    <x v="0"/>
    <n v="42"/>
    <x v="2"/>
    <x v="0"/>
    <x v="2"/>
    <x v="56"/>
    <d v="2022-01-11T00:00:00"/>
    <m/>
    <x v="0"/>
    <n v="2"/>
    <x v="3"/>
    <n v="897794"/>
  </r>
  <r>
    <s v="CAND100059"/>
    <s v="Rahul"/>
    <s v="Verma"/>
    <x v="1"/>
    <n v="37"/>
    <x v="3"/>
    <x v="1"/>
    <x v="4"/>
    <x v="57"/>
    <d v="2021-05-07T00:00:00"/>
    <m/>
    <x v="4"/>
    <n v="6"/>
    <x v="2"/>
    <n v="506928"/>
  </r>
  <r>
    <s v="CAND100060"/>
    <s v="Priya"/>
    <s v="Singh"/>
    <x v="1"/>
    <n v="40"/>
    <x v="2"/>
    <x v="4"/>
    <x v="1"/>
    <x v="58"/>
    <d v="2024-01-26T00:00:00"/>
    <d v="2024-02-02T00:00:00"/>
    <x v="2"/>
    <n v="7"/>
    <x v="2"/>
    <n v="470920"/>
  </r>
  <r>
    <s v="CAND100061"/>
    <s v="Neha"/>
    <s v="Patel"/>
    <x v="0"/>
    <n v="27"/>
    <x v="3"/>
    <x v="0"/>
    <x v="3"/>
    <x v="59"/>
    <d v="2022-11-03T00:00:00"/>
    <d v="2022-11-07T00:00:00"/>
    <x v="0"/>
    <n v="2"/>
    <x v="3"/>
    <n v="1132664"/>
  </r>
  <r>
    <s v="CAND100062"/>
    <s v="Vikas"/>
    <s v="Iyer"/>
    <x v="1"/>
    <n v="45"/>
    <x v="1"/>
    <x v="1"/>
    <x v="3"/>
    <x v="60"/>
    <d v="2022-04-12T00:00:00"/>
    <d v="2022-04-18T00:00:00"/>
    <x v="0"/>
    <n v="4"/>
    <x v="1"/>
    <n v="512169"/>
  </r>
  <r>
    <s v="CAND100063"/>
    <s v="Karan"/>
    <s v="Iyer"/>
    <x v="1"/>
    <n v="23"/>
    <x v="5"/>
    <x v="2"/>
    <x v="0"/>
    <x v="61"/>
    <d v="2021-12-07T00:00:00"/>
    <m/>
    <x v="1"/>
    <n v="2"/>
    <x v="1"/>
    <n v="887437"/>
  </r>
  <r>
    <s v="CAND100064"/>
    <s v="Ankit"/>
    <s v="Joshi"/>
    <x v="1"/>
    <n v="40"/>
    <x v="4"/>
    <x v="3"/>
    <x v="2"/>
    <x v="62"/>
    <d v="2021-08-05T00:00:00"/>
    <d v="2021-08-08T00:00:00"/>
    <x v="2"/>
    <n v="3"/>
    <x v="3"/>
    <n v="1190022"/>
  </r>
  <r>
    <s v="CAND100065"/>
    <s v="Priya"/>
    <s v="Gupta"/>
    <x v="0"/>
    <n v="38"/>
    <x v="0"/>
    <x v="2"/>
    <x v="4"/>
    <x v="63"/>
    <d v="2021-09-14T00:00:00"/>
    <m/>
    <x v="3"/>
    <n v="2"/>
    <x v="0"/>
    <n v="425268"/>
  </r>
  <r>
    <s v="CAND100066"/>
    <s v="Neha"/>
    <s v="Patel"/>
    <x v="0"/>
    <n v="22"/>
    <x v="1"/>
    <x v="3"/>
    <x v="2"/>
    <x v="64"/>
    <d v="2023-12-22T00:00:00"/>
    <d v="2023-12-27T00:00:00"/>
    <x v="2"/>
    <n v="8"/>
    <x v="2"/>
    <n v="655689"/>
  </r>
  <r>
    <s v="CAND100067"/>
    <s v="Ankit"/>
    <s v="Verma"/>
    <x v="0"/>
    <n v="23"/>
    <x v="4"/>
    <x v="1"/>
    <x v="4"/>
    <x v="65"/>
    <d v="2021-04-15T00:00:00"/>
    <m/>
    <x v="3"/>
    <n v="10"/>
    <x v="1"/>
    <n v="1157770"/>
  </r>
  <r>
    <s v="CAND100068"/>
    <s v="Neha"/>
    <s v="Iyer"/>
    <x v="1"/>
    <n v="39"/>
    <x v="2"/>
    <x v="1"/>
    <x v="1"/>
    <x v="66"/>
    <d v="2022-11-17T00:00:00"/>
    <m/>
    <x v="3"/>
    <n v="9"/>
    <x v="1"/>
    <n v="714208"/>
  </r>
  <r>
    <s v="CAND100069"/>
    <s v="Vikas"/>
    <s v="Singh"/>
    <x v="1"/>
    <n v="28"/>
    <x v="1"/>
    <x v="2"/>
    <x v="2"/>
    <x v="67"/>
    <d v="2023-12-03T00:00:00"/>
    <d v="2023-12-09T00:00:00"/>
    <x v="1"/>
    <n v="2"/>
    <x v="1"/>
    <n v="668136"/>
  </r>
  <r>
    <s v="CAND100070"/>
    <s v="Priya"/>
    <s v="Gupta"/>
    <x v="1"/>
    <n v="31"/>
    <x v="0"/>
    <x v="0"/>
    <x v="1"/>
    <x v="68"/>
    <d v="2021-03-30T00:00:00"/>
    <d v="2021-04-06T00:00:00"/>
    <x v="4"/>
    <n v="8"/>
    <x v="1"/>
    <n v="826871"/>
  </r>
  <r>
    <s v="CAND100071"/>
    <s v="Pooja"/>
    <s v="Verma"/>
    <x v="0"/>
    <n v="30"/>
    <x v="3"/>
    <x v="0"/>
    <x v="0"/>
    <x v="69"/>
    <d v="2022-07-16T00:00:00"/>
    <m/>
    <x v="2"/>
    <n v="6"/>
    <x v="1"/>
    <n v="744892"/>
  </r>
  <r>
    <s v="CAND100072"/>
    <s v="Priya"/>
    <s v="Patel"/>
    <x v="0"/>
    <n v="29"/>
    <x v="2"/>
    <x v="2"/>
    <x v="1"/>
    <x v="70"/>
    <d v="2022-06-07T00:00:00"/>
    <d v="2022-06-14T00:00:00"/>
    <x v="3"/>
    <n v="10"/>
    <x v="3"/>
    <n v="1190929"/>
  </r>
  <r>
    <s v="CAND100073"/>
    <s v="Rohit"/>
    <s v="Singh"/>
    <x v="1"/>
    <n v="28"/>
    <x v="2"/>
    <x v="2"/>
    <x v="4"/>
    <x v="71"/>
    <d v="2024-02-19T00:00:00"/>
    <m/>
    <x v="3"/>
    <n v="7"/>
    <x v="3"/>
    <n v="911476"/>
  </r>
  <r>
    <s v="CAND100074"/>
    <s v="Rahul"/>
    <s v="Joshi"/>
    <x v="1"/>
    <n v="45"/>
    <x v="4"/>
    <x v="0"/>
    <x v="0"/>
    <x v="72"/>
    <d v="2023-08-20T00:00:00"/>
    <d v="2023-08-23T00:00:00"/>
    <x v="4"/>
    <n v="5"/>
    <x v="2"/>
    <n v="767924"/>
  </r>
  <r>
    <s v="CAND100075"/>
    <s v="Rahul"/>
    <s v="Reddy"/>
    <x v="0"/>
    <n v="41"/>
    <x v="3"/>
    <x v="2"/>
    <x v="3"/>
    <x v="73"/>
    <d v="2021-06-16T00:00:00"/>
    <d v="2021-06-22T00:00:00"/>
    <x v="4"/>
    <n v="5"/>
    <x v="2"/>
    <n v="480475"/>
  </r>
  <r>
    <s v="CAND100076"/>
    <s v="Neha"/>
    <s v="Kapoor"/>
    <x v="1"/>
    <n v="39"/>
    <x v="5"/>
    <x v="3"/>
    <x v="4"/>
    <x v="74"/>
    <d v="2022-04-13T00:00:00"/>
    <d v="2022-04-16T00:00:00"/>
    <x v="2"/>
    <n v="6"/>
    <x v="0"/>
    <n v="408298"/>
  </r>
  <r>
    <s v="CAND100077"/>
    <s v="Amit"/>
    <s v="Patel"/>
    <x v="1"/>
    <n v="23"/>
    <x v="3"/>
    <x v="2"/>
    <x v="0"/>
    <x v="75"/>
    <d v="2023-10-28T00:00:00"/>
    <m/>
    <x v="4"/>
    <n v="9"/>
    <x v="3"/>
    <n v="812899"/>
  </r>
  <r>
    <s v="CAND100078"/>
    <s v="Pooja"/>
    <s v="Mehta"/>
    <x v="0"/>
    <n v="44"/>
    <x v="3"/>
    <x v="1"/>
    <x v="0"/>
    <x v="76"/>
    <d v="2023-04-06T00:00:00"/>
    <m/>
    <x v="0"/>
    <n v="2"/>
    <x v="3"/>
    <n v="534925"/>
  </r>
  <r>
    <s v="CAND100079"/>
    <s v="Neha"/>
    <s v="Joshi"/>
    <x v="1"/>
    <n v="43"/>
    <x v="1"/>
    <x v="4"/>
    <x v="2"/>
    <x v="77"/>
    <d v="2021-02-12T00:00:00"/>
    <m/>
    <x v="2"/>
    <n v="9"/>
    <x v="1"/>
    <n v="955242"/>
  </r>
  <r>
    <s v="CAND100080"/>
    <s v="Amit"/>
    <s v="Patel"/>
    <x v="1"/>
    <n v="23"/>
    <x v="1"/>
    <x v="3"/>
    <x v="1"/>
    <x v="78"/>
    <d v="2021-10-16T00:00:00"/>
    <m/>
    <x v="0"/>
    <n v="10"/>
    <x v="1"/>
    <n v="554675"/>
  </r>
  <r>
    <s v="CAND100081"/>
    <s v="Neha"/>
    <s v="Verma"/>
    <x v="1"/>
    <n v="39"/>
    <x v="2"/>
    <x v="0"/>
    <x v="3"/>
    <x v="79"/>
    <d v="2024-02-09T00:00:00"/>
    <m/>
    <x v="2"/>
    <n v="5"/>
    <x v="2"/>
    <n v="1015836"/>
  </r>
  <r>
    <s v="CAND100082"/>
    <s v="Priya"/>
    <s v="Sharma"/>
    <x v="1"/>
    <n v="25"/>
    <x v="2"/>
    <x v="2"/>
    <x v="1"/>
    <x v="80"/>
    <d v="2023-04-28T00:00:00"/>
    <d v="2023-05-03T00:00:00"/>
    <x v="2"/>
    <n v="6"/>
    <x v="2"/>
    <n v="351591"/>
  </r>
  <r>
    <s v="CAND100083"/>
    <s v="Neha"/>
    <s v="Reddy"/>
    <x v="0"/>
    <n v="28"/>
    <x v="0"/>
    <x v="2"/>
    <x v="4"/>
    <x v="81"/>
    <d v="2023-05-31T00:00:00"/>
    <m/>
    <x v="4"/>
    <n v="6"/>
    <x v="1"/>
    <n v="697770"/>
  </r>
  <r>
    <s v="CAND100084"/>
    <s v="Rohit"/>
    <s v="Kapoor"/>
    <x v="0"/>
    <n v="31"/>
    <x v="4"/>
    <x v="4"/>
    <x v="3"/>
    <x v="82"/>
    <d v="2021-08-20T00:00:00"/>
    <m/>
    <x v="0"/>
    <n v="5"/>
    <x v="2"/>
    <n v="1081652"/>
  </r>
  <r>
    <s v="CAND100085"/>
    <s v="Neha"/>
    <s v="Iyer"/>
    <x v="1"/>
    <n v="24"/>
    <x v="4"/>
    <x v="4"/>
    <x v="1"/>
    <x v="83"/>
    <d v="2022-07-24T00:00:00"/>
    <m/>
    <x v="3"/>
    <n v="6"/>
    <x v="2"/>
    <n v="322631"/>
  </r>
  <r>
    <s v="CAND100086"/>
    <s v="Karan"/>
    <s v="Verma"/>
    <x v="1"/>
    <n v="36"/>
    <x v="3"/>
    <x v="0"/>
    <x v="2"/>
    <x v="84"/>
    <d v="2023-03-27T00:00:00"/>
    <d v="2023-03-29T00:00:00"/>
    <x v="1"/>
    <n v="6"/>
    <x v="0"/>
    <n v="560337"/>
  </r>
  <r>
    <s v="CAND100087"/>
    <s v="Amit"/>
    <s v="Patel"/>
    <x v="0"/>
    <n v="34"/>
    <x v="5"/>
    <x v="2"/>
    <x v="4"/>
    <x v="85"/>
    <d v="2023-03-08T00:00:00"/>
    <m/>
    <x v="0"/>
    <n v="7"/>
    <x v="3"/>
    <n v="944403"/>
  </r>
  <r>
    <s v="CAND100088"/>
    <s v="Karan"/>
    <s v="Mehta"/>
    <x v="0"/>
    <n v="45"/>
    <x v="2"/>
    <x v="4"/>
    <x v="4"/>
    <x v="86"/>
    <d v="2021-04-18T00:00:00"/>
    <d v="2021-04-20T00:00:00"/>
    <x v="4"/>
    <n v="4"/>
    <x v="0"/>
    <n v="1018066"/>
  </r>
  <r>
    <s v="CAND100089"/>
    <s v="Vikas"/>
    <s v="Joshi"/>
    <x v="1"/>
    <n v="38"/>
    <x v="5"/>
    <x v="0"/>
    <x v="4"/>
    <x v="87"/>
    <d v="2022-08-19T00:00:00"/>
    <m/>
    <x v="2"/>
    <n v="6"/>
    <x v="1"/>
    <n v="690698"/>
  </r>
  <r>
    <s v="CAND100090"/>
    <s v="Karan"/>
    <s v="Joshi"/>
    <x v="1"/>
    <n v="33"/>
    <x v="1"/>
    <x v="2"/>
    <x v="3"/>
    <x v="88"/>
    <d v="2021-01-31T00:00:00"/>
    <d v="2021-02-03T00:00:00"/>
    <x v="0"/>
    <n v="8"/>
    <x v="1"/>
    <n v="311456"/>
  </r>
  <r>
    <s v="CAND100091"/>
    <s v="Pooja"/>
    <s v="Sharma"/>
    <x v="0"/>
    <n v="27"/>
    <x v="3"/>
    <x v="0"/>
    <x v="1"/>
    <x v="59"/>
    <d v="2022-11-03T00:00:00"/>
    <d v="2022-11-06T00:00:00"/>
    <x v="0"/>
    <n v="6"/>
    <x v="1"/>
    <n v="997970"/>
  </r>
  <r>
    <s v="CAND100092"/>
    <s v="Rahul"/>
    <s v="Sharma"/>
    <x v="1"/>
    <n v="40"/>
    <x v="2"/>
    <x v="0"/>
    <x v="0"/>
    <x v="89"/>
    <d v="2023-10-04T00:00:00"/>
    <d v="2023-10-07T00:00:00"/>
    <x v="1"/>
    <n v="8"/>
    <x v="2"/>
    <n v="922859"/>
  </r>
  <r>
    <s v="CAND100093"/>
    <s v="Karan"/>
    <s v="Reddy"/>
    <x v="0"/>
    <n v="45"/>
    <x v="4"/>
    <x v="3"/>
    <x v="3"/>
    <x v="90"/>
    <d v="2024-04-28T00:00:00"/>
    <m/>
    <x v="1"/>
    <n v="6"/>
    <x v="3"/>
    <n v="775647"/>
  </r>
  <r>
    <s v="CAND100094"/>
    <s v="Priya"/>
    <s v="Verma"/>
    <x v="0"/>
    <n v="34"/>
    <x v="2"/>
    <x v="1"/>
    <x v="3"/>
    <x v="91"/>
    <d v="2022-02-16T00:00:00"/>
    <d v="2022-02-19T00:00:00"/>
    <x v="2"/>
    <n v="7"/>
    <x v="2"/>
    <n v="730323"/>
  </r>
  <r>
    <s v="CAND100095"/>
    <s v="Karan"/>
    <s v="Joshi"/>
    <x v="0"/>
    <n v="34"/>
    <x v="1"/>
    <x v="4"/>
    <x v="0"/>
    <x v="92"/>
    <d v="2023-04-21T00:00:00"/>
    <d v="2023-04-25T00:00:00"/>
    <x v="0"/>
    <n v="4"/>
    <x v="2"/>
    <n v="927428"/>
  </r>
  <r>
    <s v="CAND100096"/>
    <s v="Rahul"/>
    <s v="Singh"/>
    <x v="0"/>
    <n v="44"/>
    <x v="0"/>
    <x v="0"/>
    <x v="4"/>
    <x v="93"/>
    <d v="2024-03-28T00:00:00"/>
    <d v="2024-04-03T00:00:00"/>
    <x v="1"/>
    <n v="10"/>
    <x v="0"/>
    <n v="893742"/>
  </r>
  <r>
    <s v="CAND100097"/>
    <s v="Rohit"/>
    <s v="Joshi"/>
    <x v="0"/>
    <n v="40"/>
    <x v="5"/>
    <x v="2"/>
    <x v="3"/>
    <x v="94"/>
    <d v="2022-11-16T00:00:00"/>
    <d v="2022-11-23T00:00:00"/>
    <x v="2"/>
    <n v="6"/>
    <x v="1"/>
    <n v="678154"/>
  </r>
  <r>
    <s v="CAND100098"/>
    <s v="Ankit"/>
    <s v="Sharma"/>
    <x v="0"/>
    <n v="22"/>
    <x v="3"/>
    <x v="0"/>
    <x v="0"/>
    <x v="95"/>
    <d v="2021-07-28T00:00:00"/>
    <m/>
    <x v="4"/>
    <n v="3"/>
    <x v="1"/>
    <n v="645471"/>
  </r>
  <r>
    <s v="CAND100099"/>
    <s v="Pooja"/>
    <s v="Iyer"/>
    <x v="1"/>
    <n v="28"/>
    <x v="3"/>
    <x v="4"/>
    <x v="4"/>
    <x v="96"/>
    <d v="2024-02-21T00:00:00"/>
    <d v="2024-02-27T00:00:00"/>
    <x v="2"/>
    <n v="7"/>
    <x v="2"/>
    <n v="594874"/>
  </r>
  <r>
    <s v="CAND100100"/>
    <s v="Pooja"/>
    <s v="Verma"/>
    <x v="1"/>
    <n v="32"/>
    <x v="0"/>
    <x v="2"/>
    <x v="1"/>
    <x v="97"/>
    <d v="2022-04-26T00:00:00"/>
    <m/>
    <x v="3"/>
    <n v="5"/>
    <x v="1"/>
    <n v="669992"/>
  </r>
  <r>
    <s v="CAND100101"/>
    <s v="Karan"/>
    <s v="Patel"/>
    <x v="0"/>
    <n v="36"/>
    <x v="1"/>
    <x v="2"/>
    <x v="0"/>
    <x v="98"/>
    <d v="2021-02-22T00:00:00"/>
    <d v="2021-02-26T00:00:00"/>
    <x v="1"/>
    <n v="2"/>
    <x v="2"/>
    <n v="732203"/>
  </r>
  <r>
    <s v="CAND100102"/>
    <s v="Sneha"/>
    <s v="Patel"/>
    <x v="1"/>
    <n v="30"/>
    <x v="5"/>
    <x v="1"/>
    <x v="0"/>
    <x v="62"/>
    <d v="2021-08-11T00:00:00"/>
    <m/>
    <x v="4"/>
    <n v="2"/>
    <x v="1"/>
    <n v="605143"/>
  </r>
  <r>
    <s v="CAND100103"/>
    <s v="Sneha"/>
    <s v="Reddy"/>
    <x v="1"/>
    <n v="37"/>
    <x v="2"/>
    <x v="1"/>
    <x v="4"/>
    <x v="99"/>
    <d v="2023-04-28T00:00:00"/>
    <d v="2023-05-05T00:00:00"/>
    <x v="4"/>
    <n v="10"/>
    <x v="1"/>
    <n v="614391"/>
  </r>
  <r>
    <s v="CAND100104"/>
    <s v="Rahul"/>
    <s v="Patel"/>
    <x v="0"/>
    <n v="43"/>
    <x v="3"/>
    <x v="2"/>
    <x v="4"/>
    <x v="68"/>
    <d v="2021-04-07T00:00:00"/>
    <d v="2021-04-09T00:00:00"/>
    <x v="0"/>
    <n v="2"/>
    <x v="3"/>
    <n v="387359"/>
  </r>
  <r>
    <s v="CAND100105"/>
    <s v="Rahul"/>
    <s v="Mehta"/>
    <x v="0"/>
    <n v="36"/>
    <x v="2"/>
    <x v="3"/>
    <x v="0"/>
    <x v="100"/>
    <d v="2023-04-06T00:00:00"/>
    <d v="2023-04-13T00:00:00"/>
    <x v="0"/>
    <n v="6"/>
    <x v="0"/>
    <n v="910433"/>
  </r>
  <r>
    <s v="CAND100106"/>
    <s v="Amit"/>
    <s v="Patel"/>
    <x v="1"/>
    <n v="25"/>
    <x v="3"/>
    <x v="0"/>
    <x v="1"/>
    <x v="90"/>
    <d v="2024-04-23T00:00:00"/>
    <m/>
    <x v="4"/>
    <n v="9"/>
    <x v="0"/>
    <n v="1176597"/>
  </r>
  <r>
    <s v="CAND100107"/>
    <s v="Ankit"/>
    <s v="Kapoor"/>
    <x v="0"/>
    <n v="35"/>
    <x v="5"/>
    <x v="0"/>
    <x v="2"/>
    <x v="101"/>
    <d v="2021-10-15T00:00:00"/>
    <m/>
    <x v="2"/>
    <n v="9"/>
    <x v="2"/>
    <n v="581491"/>
  </r>
  <r>
    <s v="CAND100108"/>
    <s v="Priya"/>
    <s v="Gupta"/>
    <x v="1"/>
    <n v="27"/>
    <x v="5"/>
    <x v="3"/>
    <x v="4"/>
    <x v="102"/>
    <d v="2021-08-19T00:00:00"/>
    <d v="2021-08-21T00:00:00"/>
    <x v="3"/>
    <n v="7"/>
    <x v="0"/>
    <n v="690993"/>
  </r>
  <r>
    <s v="CAND100109"/>
    <s v="Pooja"/>
    <s v="Verma"/>
    <x v="1"/>
    <n v="22"/>
    <x v="2"/>
    <x v="1"/>
    <x v="4"/>
    <x v="103"/>
    <d v="2023-07-12T00:00:00"/>
    <d v="2023-07-16T00:00:00"/>
    <x v="4"/>
    <n v="8"/>
    <x v="1"/>
    <n v="508337"/>
  </r>
  <r>
    <s v="CAND100110"/>
    <s v="Ankit"/>
    <s v="Iyer"/>
    <x v="1"/>
    <n v="32"/>
    <x v="1"/>
    <x v="3"/>
    <x v="4"/>
    <x v="104"/>
    <d v="2022-05-16T00:00:00"/>
    <m/>
    <x v="4"/>
    <n v="10"/>
    <x v="2"/>
    <n v="460055"/>
  </r>
  <r>
    <s v="CAND100111"/>
    <s v="Pooja"/>
    <s v="Iyer"/>
    <x v="0"/>
    <n v="23"/>
    <x v="0"/>
    <x v="2"/>
    <x v="2"/>
    <x v="105"/>
    <d v="2023-05-31T00:00:00"/>
    <m/>
    <x v="2"/>
    <n v="7"/>
    <x v="0"/>
    <n v="860981"/>
  </r>
  <r>
    <s v="CAND100112"/>
    <s v="Sneha"/>
    <s v="Mehta"/>
    <x v="1"/>
    <n v="38"/>
    <x v="3"/>
    <x v="1"/>
    <x v="4"/>
    <x v="106"/>
    <d v="2021-07-13T00:00:00"/>
    <d v="2021-07-18T00:00:00"/>
    <x v="4"/>
    <n v="6"/>
    <x v="2"/>
    <n v="892611"/>
  </r>
  <r>
    <s v="CAND100113"/>
    <s v="Priya"/>
    <s v="Joshi"/>
    <x v="1"/>
    <n v="44"/>
    <x v="1"/>
    <x v="3"/>
    <x v="2"/>
    <x v="107"/>
    <d v="2021-09-29T00:00:00"/>
    <m/>
    <x v="3"/>
    <n v="7"/>
    <x v="2"/>
    <n v="337685"/>
  </r>
  <r>
    <s v="CAND100114"/>
    <s v="Vikas"/>
    <s v="Joshi"/>
    <x v="0"/>
    <n v="32"/>
    <x v="0"/>
    <x v="1"/>
    <x v="2"/>
    <x v="108"/>
    <d v="2023-06-29T00:00:00"/>
    <m/>
    <x v="1"/>
    <n v="10"/>
    <x v="3"/>
    <n v="1100468"/>
  </r>
  <r>
    <s v="CAND100115"/>
    <s v="Vikas"/>
    <s v="Patel"/>
    <x v="1"/>
    <n v="44"/>
    <x v="2"/>
    <x v="0"/>
    <x v="1"/>
    <x v="109"/>
    <d v="2024-01-02T00:00:00"/>
    <d v="2024-01-08T00:00:00"/>
    <x v="3"/>
    <n v="8"/>
    <x v="3"/>
    <n v="1064159"/>
  </r>
  <r>
    <s v="CAND100116"/>
    <s v="Ankit"/>
    <s v="Sharma"/>
    <x v="0"/>
    <n v="32"/>
    <x v="4"/>
    <x v="0"/>
    <x v="3"/>
    <x v="61"/>
    <d v="2021-12-16T00:00:00"/>
    <m/>
    <x v="4"/>
    <n v="5"/>
    <x v="0"/>
    <n v="701907"/>
  </r>
  <r>
    <s v="CAND100117"/>
    <s v="Amit"/>
    <s v="Reddy"/>
    <x v="0"/>
    <n v="38"/>
    <x v="3"/>
    <x v="4"/>
    <x v="0"/>
    <x v="110"/>
    <d v="2021-01-28T00:00:00"/>
    <d v="2021-02-03T00:00:00"/>
    <x v="4"/>
    <n v="10"/>
    <x v="3"/>
    <n v="614528"/>
  </r>
  <r>
    <s v="CAND100118"/>
    <s v="Vikas"/>
    <s v="Singh"/>
    <x v="1"/>
    <n v="27"/>
    <x v="4"/>
    <x v="1"/>
    <x v="3"/>
    <x v="111"/>
    <d v="2023-07-31T00:00:00"/>
    <d v="2023-08-03T00:00:00"/>
    <x v="3"/>
    <n v="3"/>
    <x v="0"/>
    <n v="472754"/>
  </r>
  <r>
    <s v="CAND100119"/>
    <s v="Amit"/>
    <s v="Sharma"/>
    <x v="0"/>
    <n v="38"/>
    <x v="1"/>
    <x v="4"/>
    <x v="4"/>
    <x v="112"/>
    <d v="2023-04-05T00:00:00"/>
    <m/>
    <x v="3"/>
    <n v="9"/>
    <x v="3"/>
    <n v="796746"/>
  </r>
  <r>
    <s v="CAND100120"/>
    <s v="Vikas"/>
    <s v="Kapoor"/>
    <x v="1"/>
    <n v="35"/>
    <x v="4"/>
    <x v="4"/>
    <x v="2"/>
    <x v="113"/>
    <d v="2021-12-22T00:00:00"/>
    <m/>
    <x v="0"/>
    <n v="3"/>
    <x v="1"/>
    <n v="503130"/>
  </r>
  <r>
    <s v="CAND100121"/>
    <s v="Neha"/>
    <s v="Mehta"/>
    <x v="0"/>
    <n v="39"/>
    <x v="3"/>
    <x v="4"/>
    <x v="3"/>
    <x v="114"/>
    <d v="2022-11-12T00:00:00"/>
    <d v="2022-11-19T00:00:00"/>
    <x v="1"/>
    <n v="8"/>
    <x v="0"/>
    <n v="579808"/>
  </r>
  <r>
    <s v="CAND100122"/>
    <s v="Neha"/>
    <s v="Singh"/>
    <x v="0"/>
    <n v="44"/>
    <x v="0"/>
    <x v="0"/>
    <x v="0"/>
    <x v="115"/>
    <d v="2022-07-29T00:00:00"/>
    <d v="2022-08-03T00:00:00"/>
    <x v="1"/>
    <n v="4"/>
    <x v="1"/>
    <n v="961092"/>
  </r>
  <r>
    <s v="CAND100123"/>
    <s v="Neha"/>
    <s v="Verma"/>
    <x v="0"/>
    <n v="32"/>
    <x v="3"/>
    <x v="4"/>
    <x v="4"/>
    <x v="116"/>
    <d v="2021-06-01T00:00:00"/>
    <d v="2021-06-06T00:00:00"/>
    <x v="1"/>
    <n v="6"/>
    <x v="0"/>
    <n v="449451"/>
  </r>
  <r>
    <s v="CAND100124"/>
    <s v="Neha"/>
    <s v="Gupta"/>
    <x v="0"/>
    <n v="40"/>
    <x v="0"/>
    <x v="1"/>
    <x v="0"/>
    <x v="117"/>
    <d v="2021-06-22T00:00:00"/>
    <m/>
    <x v="3"/>
    <n v="4"/>
    <x v="1"/>
    <n v="642468"/>
  </r>
  <r>
    <s v="CAND100125"/>
    <s v="Pooja"/>
    <s v="Mehta"/>
    <x v="0"/>
    <n v="44"/>
    <x v="1"/>
    <x v="1"/>
    <x v="4"/>
    <x v="118"/>
    <d v="2024-01-07T00:00:00"/>
    <d v="2024-01-10T00:00:00"/>
    <x v="4"/>
    <n v="2"/>
    <x v="1"/>
    <n v="853445"/>
  </r>
  <r>
    <s v="CAND100126"/>
    <s v="Pooja"/>
    <s v="Sharma"/>
    <x v="0"/>
    <n v="36"/>
    <x v="2"/>
    <x v="3"/>
    <x v="0"/>
    <x v="119"/>
    <d v="2022-09-23T00:00:00"/>
    <d v="2022-09-28T00:00:00"/>
    <x v="2"/>
    <n v="10"/>
    <x v="2"/>
    <n v="698740"/>
  </r>
  <r>
    <s v="CAND100127"/>
    <s v="Pooja"/>
    <s v="Reddy"/>
    <x v="1"/>
    <n v="30"/>
    <x v="1"/>
    <x v="4"/>
    <x v="1"/>
    <x v="120"/>
    <d v="2022-05-13T00:00:00"/>
    <d v="2022-05-20T00:00:00"/>
    <x v="2"/>
    <n v="9"/>
    <x v="0"/>
    <n v="810108"/>
  </r>
  <r>
    <s v="CAND100128"/>
    <s v="Rahul"/>
    <s v="Gupta"/>
    <x v="1"/>
    <n v="26"/>
    <x v="2"/>
    <x v="2"/>
    <x v="4"/>
    <x v="121"/>
    <d v="2022-09-14T00:00:00"/>
    <d v="2022-09-21T00:00:00"/>
    <x v="0"/>
    <n v="9"/>
    <x v="2"/>
    <n v="365716"/>
  </r>
  <r>
    <s v="CAND100129"/>
    <s v="Priya"/>
    <s v="Gupta"/>
    <x v="0"/>
    <n v="32"/>
    <x v="1"/>
    <x v="1"/>
    <x v="0"/>
    <x v="122"/>
    <d v="2021-04-23T00:00:00"/>
    <m/>
    <x v="4"/>
    <n v="3"/>
    <x v="0"/>
    <n v="660420"/>
  </r>
  <r>
    <s v="CAND100130"/>
    <s v="Rahul"/>
    <s v="Verma"/>
    <x v="1"/>
    <n v="33"/>
    <x v="4"/>
    <x v="2"/>
    <x v="2"/>
    <x v="123"/>
    <d v="2023-10-13T00:00:00"/>
    <m/>
    <x v="0"/>
    <n v="8"/>
    <x v="0"/>
    <n v="354786"/>
  </r>
  <r>
    <s v="CAND100131"/>
    <s v="Ankit"/>
    <s v="Sharma"/>
    <x v="0"/>
    <n v="28"/>
    <x v="5"/>
    <x v="4"/>
    <x v="4"/>
    <x v="124"/>
    <d v="2021-05-07T00:00:00"/>
    <m/>
    <x v="4"/>
    <n v="2"/>
    <x v="1"/>
    <n v="418908"/>
  </r>
  <r>
    <s v="CAND100132"/>
    <s v="Neha"/>
    <s v="Joshi"/>
    <x v="0"/>
    <n v="31"/>
    <x v="3"/>
    <x v="0"/>
    <x v="3"/>
    <x v="125"/>
    <d v="2023-08-30T00:00:00"/>
    <d v="2023-09-02T00:00:00"/>
    <x v="2"/>
    <n v="2"/>
    <x v="0"/>
    <n v="1063345"/>
  </r>
  <r>
    <s v="CAND100133"/>
    <s v="Priya"/>
    <s v="Mehta"/>
    <x v="1"/>
    <n v="45"/>
    <x v="5"/>
    <x v="4"/>
    <x v="0"/>
    <x v="46"/>
    <d v="2023-06-10T00:00:00"/>
    <m/>
    <x v="1"/>
    <n v="9"/>
    <x v="1"/>
    <n v="729882"/>
  </r>
  <r>
    <s v="CAND100134"/>
    <s v="Rohit"/>
    <s v="Iyer"/>
    <x v="1"/>
    <n v="40"/>
    <x v="5"/>
    <x v="4"/>
    <x v="0"/>
    <x v="126"/>
    <d v="2021-07-05T00:00:00"/>
    <d v="2021-07-09T00:00:00"/>
    <x v="1"/>
    <n v="3"/>
    <x v="3"/>
    <n v="581523"/>
  </r>
  <r>
    <s v="CAND100135"/>
    <s v="Rahul"/>
    <s v="Singh"/>
    <x v="1"/>
    <n v="28"/>
    <x v="3"/>
    <x v="1"/>
    <x v="1"/>
    <x v="127"/>
    <d v="2021-08-15T00:00:00"/>
    <d v="2021-08-22T00:00:00"/>
    <x v="4"/>
    <n v="7"/>
    <x v="3"/>
    <n v="727102"/>
  </r>
  <r>
    <s v="CAND100136"/>
    <s v="Rahul"/>
    <s v="Reddy"/>
    <x v="0"/>
    <n v="28"/>
    <x v="4"/>
    <x v="1"/>
    <x v="1"/>
    <x v="128"/>
    <d v="2021-11-02T00:00:00"/>
    <d v="2021-11-06T00:00:00"/>
    <x v="1"/>
    <n v="9"/>
    <x v="3"/>
    <n v="1187614"/>
  </r>
  <r>
    <s v="CAND100137"/>
    <s v="Ankit"/>
    <s v="Reddy"/>
    <x v="1"/>
    <n v="24"/>
    <x v="1"/>
    <x v="4"/>
    <x v="0"/>
    <x v="129"/>
    <d v="2022-08-15T00:00:00"/>
    <d v="2022-08-17T00:00:00"/>
    <x v="1"/>
    <n v="8"/>
    <x v="0"/>
    <n v="333241"/>
  </r>
  <r>
    <s v="CAND100138"/>
    <s v="Vikas"/>
    <s v="Kapoor"/>
    <x v="1"/>
    <n v="40"/>
    <x v="2"/>
    <x v="4"/>
    <x v="3"/>
    <x v="130"/>
    <d v="2023-04-11T00:00:00"/>
    <m/>
    <x v="1"/>
    <n v="8"/>
    <x v="3"/>
    <n v="385405"/>
  </r>
  <r>
    <s v="CAND100139"/>
    <s v="Rahul"/>
    <s v="Patel"/>
    <x v="0"/>
    <n v="27"/>
    <x v="1"/>
    <x v="1"/>
    <x v="4"/>
    <x v="131"/>
    <d v="2023-11-07T00:00:00"/>
    <m/>
    <x v="2"/>
    <n v="6"/>
    <x v="2"/>
    <n v="732470"/>
  </r>
  <r>
    <s v="CAND100140"/>
    <s v="Priya"/>
    <s v="Joshi"/>
    <x v="0"/>
    <n v="30"/>
    <x v="3"/>
    <x v="0"/>
    <x v="0"/>
    <x v="132"/>
    <d v="2023-02-05T00:00:00"/>
    <d v="2023-02-09T00:00:00"/>
    <x v="1"/>
    <n v="3"/>
    <x v="0"/>
    <n v="1041707"/>
  </r>
  <r>
    <s v="CAND100141"/>
    <s v="Pooja"/>
    <s v="Mehta"/>
    <x v="0"/>
    <n v="42"/>
    <x v="4"/>
    <x v="0"/>
    <x v="0"/>
    <x v="133"/>
    <d v="2023-04-27T00:00:00"/>
    <m/>
    <x v="2"/>
    <n v="5"/>
    <x v="0"/>
    <n v="832177"/>
  </r>
  <r>
    <s v="CAND100142"/>
    <s v="Ankit"/>
    <s v="Iyer"/>
    <x v="1"/>
    <n v="36"/>
    <x v="5"/>
    <x v="3"/>
    <x v="3"/>
    <x v="134"/>
    <d v="2021-05-26T00:00:00"/>
    <m/>
    <x v="1"/>
    <n v="4"/>
    <x v="1"/>
    <n v="488912"/>
  </r>
  <r>
    <s v="CAND100143"/>
    <s v="Pooja"/>
    <s v="Joshi"/>
    <x v="1"/>
    <n v="45"/>
    <x v="5"/>
    <x v="1"/>
    <x v="1"/>
    <x v="135"/>
    <d v="2022-02-07T00:00:00"/>
    <m/>
    <x v="1"/>
    <n v="5"/>
    <x v="3"/>
    <n v="566804"/>
  </r>
  <r>
    <s v="CAND100144"/>
    <s v="Priya"/>
    <s v="Singh"/>
    <x v="0"/>
    <n v="45"/>
    <x v="2"/>
    <x v="1"/>
    <x v="4"/>
    <x v="136"/>
    <d v="2024-03-26T00:00:00"/>
    <d v="2024-03-28T00:00:00"/>
    <x v="1"/>
    <n v="8"/>
    <x v="1"/>
    <n v="697758"/>
  </r>
  <r>
    <s v="CAND100145"/>
    <s v="Rahul"/>
    <s v="Verma"/>
    <x v="1"/>
    <n v="39"/>
    <x v="2"/>
    <x v="2"/>
    <x v="4"/>
    <x v="137"/>
    <d v="2022-03-24T00:00:00"/>
    <d v="2022-03-28T00:00:00"/>
    <x v="4"/>
    <n v="8"/>
    <x v="0"/>
    <n v="799755"/>
  </r>
  <r>
    <s v="CAND100146"/>
    <s v="Rohit"/>
    <s v="Joshi"/>
    <x v="0"/>
    <n v="29"/>
    <x v="1"/>
    <x v="1"/>
    <x v="2"/>
    <x v="138"/>
    <d v="2021-12-26T00:00:00"/>
    <d v="2021-12-29T00:00:00"/>
    <x v="2"/>
    <n v="4"/>
    <x v="1"/>
    <n v="637844"/>
  </r>
  <r>
    <s v="CAND100147"/>
    <s v="Neha"/>
    <s v="Kapoor"/>
    <x v="1"/>
    <n v="43"/>
    <x v="1"/>
    <x v="3"/>
    <x v="4"/>
    <x v="139"/>
    <d v="2021-05-30T00:00:00"/>
    <m/>
    <x v="2"/>
    <n v="6"/>
    <x v="0"/>
    <n v="862058"/>
  </r>
  <r>
    <s v="CAND100148"/>
    <s v="Ankit"/>
    <s v="Verma"/>
    <x v="0"/>
    <n v="42"/>
    <x v="3"/>
    <x v="0"/>
    <x v="4"/>
    <x v="140"/>
    <d v="2022-07-10T00:00:00"/>
    <d v="2022-07-14T00:00:00"/>
    <x v="4"/>
    <n v="9"/>
    <x v="0"/>
    <n v="631166"/>
  </r>
  <r>
    <s v="CAND100149"/>
    <s v="Karan"/>
    <s v="Singh"/>
    <x v="0"/>
    <n v="35"/>
    <x v="5"/>
    <x v="3"/>
    <x v="4"/>
    <x v="141"/>
    <d v="2022-02-11T00:00:00"/>
    <d v="2022-02-16T00:00:00"/>
    <x v="4"/>
    <n v="6"/>
    <x v="2"/>
    <n v="465886"/>
  </r>
  <r>
    <s v="CAND100150"/>
    <s v="Vikas"/>
    <s v="Reddy"/>
    <x v="0"/>
    <n v="30"/>
    <x v="5"/>
    <x v="0"/>
    <x v="3"/>
    <x v="142"/>
    <d v="2021-03-31T00:00:00"/>
    <d v="2021-04-07T00:00:00"/>
    <x v="3"/>
    <n v="8"/>
    <x v="2"/>
    <n v="595950"/>
  </r>
  <r>
    <s v="CAND100151"/>
    <s v="Priya"/>
    <s v="Gupta"/>
    <x v="1"/>
    <n v="29"/>
    <x v="1"/>
    <x v="3"/>
    <x v="0"/>
    <x v="143"/>
    <d v="2023-08-16T00:00:00"/>
    <d v="2023-08-22T00:00:00"/>
    <x v="0"/>
    <n v="4"/>
    <x v="2"/>
    <n v="342729"/>
  </r>
  <r>
    <s v="CAND100152"/>
    <s v="Neha"/>
    <s v="Patel"/>
    <x v="0"/>
    <n v="34"/>
    <x v="1"/>
    <x v="4"/>
    <x v="4"/>
    <x v="144"/>
    <d v="2023-04-22T00:00:00"/>
    <d v="2023-04-28T00:00:00"/>
    <x v="3"/>
    <n v="5"/>
    <x v="3"/>
    <n v="1089110"/>
  </r>
  <r>
    <s v="CAND100153"/>
    <s v="Rahul"/>
    <s v="Sharma"/>
    <x v="0"/>
    <n v="22"/>
    <x v="3"/>
    <x v="2"/>
    <x v="4"/>
    <x v="84"/>
    <d v="2023-03-25T00:00:00"/>
    <m/>
    <x v="4"/>
    <n v="3"/>
    <x v="1"/>
    <n v="760195"/>
  </r>
  <r>
    <s v="CAND100154"/>
    <s v="Rohit"/>
    <s v="Gupta"/>
    <x v="0"/>
    <n v="33"/>
    <x v="0"/>
    <x v="4"/>
    <x v="4"/>
    <x v="145"/>
    <d v="2024-02-14T00:00:00"/>
    <d v="2024-02-20T00:00:00"/>
    <x v="1"/>
    <n v="8"/>
    <x v="2"/>
    <n v="447140"/>
  </r>
  <r>
    <s v="CAND100155"/>
    <s v="Rahul"/>
    <s v="Patel"/>
    <x v="0"/>
    <n v="43"/>
    <x v="4"/>
    <x v="0"/>
    <x v="3"/>
    <x v="146"/>
    <d v="2021-12-16T00:00:00"/>
    <m/>
    <x v="3"/>
    <n v="8"/>
    <x v="2"/>
    <n v="456008"/>
  </r>
  <r>
    <s v="CAND100156"/>
    <s v="Rahul"/>
    <s v="Joshi"/>
    <x v="0"/>
    <n v="40"/>
    <x v="0"/>
    <x v="1"/>
    <x v="1"/>
    <x v="147"/>
    <d v="2022-11-22T00:00:00"/>
    <d v="2022-11-27T00:00:00"/>
    <x v="3"/>
    <n v="7"/>
    <x v="2"/>
    <n v="886287"/>
  </r>
  <r>
    <s v="CAND100157"/>
    <s v="Amit"/>
    <s v="Singh"/>
    <x v="0"/>
    <n v="30"/>
    <x v="1"/>
    <x v="4"/>
    <x v="1"/>
    <x v="148"/>
    <d v="2022-03-26T00:00:00"/>
    <d v="2022-03-30T00:00:00"/>
    <x v="4"/>
    <n v="5"/>
    <x v="0"/>
    <n v="1053699"/>
  </r>
  <r>
    <s v="CAND100158"/>
    <s v="Neha"/>
    <s v="Joshi"/>
    <x v="1"/>
    <n v="34"/>
    <x v="0"/>
    <x v="1"/>
    <x v="1"/>
    <x v="149"/>
    <d v="2023-01-26T00:00:00"/>
    <m/>
    <x v="2"/>
    <n v="2"/>
    <x v="3"/>
    <n v="643663"/>
  </r>
  <r>
    <s v="CAND100159"/>
    <s v="Sneha"/>
    <s v="Joshi"/>
    <x v="1"/>
    <n v="35"/>
    <x v="5"/>
    <x v="1"/>
    <x v="1"/>
    <x v="131"/>
    <d v="2023-11-11T00:00:00"/>
    <m/>
    <x v="2"/>
    <n v="3"/>
    <x v="2"/>
    <n v="974036"/>
  </r>
  <r>
    <s v="CAND100160"/>
    <s v="Ankit"/>
    <s v="Reddy"/>
    <x v="0"/>
    <n v="28"/>
    <x v="0"/>
    <x v="0"/>
    <x v="0"/>
    <x v="54"/>
    <d v="2022-06-28T00:00:00"/>
    <d v="2022-06-30T00:00:00"/>
    <x v="3"/>
    <n v="7"/>
    <x v="0"/>
    <n v="948698"/>
  </r>
  <r>
    <s v="CAND100161"/>
    <s v="Amit"/>
    <s v="Mehta"/>
    <x v="1"/>
    <n v="29"/>
    <x v="2"/>
    <x v="2"/>
    <x v="2"/>
    <x v="150"/>
    <d v="2024-01-23T00:00:00"/>
    <d v="2024-01-25T00:00:00"/>
    <x v="2"/>
    <n v="8"/>
    <x v="1"/>
    <n v="545942"/>
  </r>
  <r>
    <s v="CAND100162"/>
    <s v="Pooja"/>
    <s v="Singh"/>
    <x v="0"/>
    <n v="38"/>
    <x v="0"/>
    <x v="0"/>
    <x v="3"/>
    <x v="151"/>
    <d v="2022-04-25T00:00:00"/>
    <d v="2022-05-01T00:00:00"/>
    <x v="3"/>
    <n v="9"/>
    <x v="3"/>
    <n v="301065"/>
  </r>
  <r>
    <s v="CAND100163"/>
    <s v="Amit"/>
    <s v="Gupta"/>
    <x v="0"/>
    <n v="41"/>
    <x v="0"/>
    <x v="1"/>
    <x v="2"/>
    <x v="152"/>
    <d v="2022-10-19T00:00:00"/>
    <d v="2022-10-24T00:00:00"/>
    <x v="0"/>
    <n v="7"/>
    <x v="2"/>
    <n v="1034598"/>
  </r>
  <r>
    <s v="CAND100164"/>
    <s v="Neha"/>
    <s v="Joshi"/>
    <x v="0"/>
    <n v="27"/>
    <x v="1"/>
    <x v="2"/>
    <x v="4"/>
    <x v="153"/>
    <d v="2021-01-20T00:00:00"/>
    <m/>
    <x v="4"/>
    <n v="8"/>
    <x v="2"/>
    <n v="699595"/>
  </r>
  <r>
    <s v="CAND100165"/>
    <s v="Pooja"/>
    <s v="Mehta"/>
    <x v="0"/>
    <n v="35"/>
    <x v="0"/>
    <x v="0"/>
    <x v="0"/>
    <x v="154"/>
    <d v="2024-01-16T00:00:00"/>
    <d v="2024-01-20T00:00:00"/>
    <x v="3"/>
    <n v="8"/>
    <x v="2"/>
    <n v="809772"/>
  </r>
  <r>
    <s v="CAND100166"/>
    <s v="Pooja"/>
    <s v="Verma"/>
    <x v="0"/>
    <n v="24"/>
    <x v="0"/>
    <x v="2"/>
    <x v="1"/>
    <x v="155"/>
    <d v="2023-03-30T00:00:00"/>
    <d v="2023-04-02T00:00:00"/>
    <x v="2"/>
    <n v="6"/>
    <x v="1"/>
    <n v="1188181"/>
  </r>
  <r>
    <s v="CAND100167"/>
    <s v="Vikas"/>
    <s v="Singh"/>
    <x v="0"/>
    <n v="31"/>
    <x v="1"/>
    <x v="0"/>
    <x v="0"/>
    <x v="156"/>
    <d v="2021-02-24T00:00:00"/>
    <d v="2021-02-28T00:00:00"/>
    <x v="3"/>
    <n v="5"/>
    <x v="3"/>
    <n v="571861"/>
  </r>
  <r>
    <s v="CAND100168"/>
    <s v="Amit"/>
    <s v="Singh"/>
    <x v="1"/>
    <n v="22"/>
    <x v="5"/>
    <x v="3"/>
    <x v="3"/>
    <x v="157"/>
    <d v="2021-07-12T00:00:00"/>
    <d v="2021-07-14T00:00:00"/>
    <x v="1"/>
    <n v="7"/>
    <x v="0"/>
    <n v="340792"/>
  </r>
  <r>
    <s v="CAND100169"/>
    <s v="Amit"/>
    <s v="Joshi"/>
    <x v="0"/>
    <n v="43"/>
    <x v="5"/>
    <x v="3"/>
    <x v="4"/>
    <x v="158"/>
    <d v="2022-09-08T00:00:00"/>
    <d v="2022-09-12T00:00:00"/>
    <x v="4"/>
    <n v="6"/>
    <x v="3"/>
    <n v="983334"/>
  </r>
  <r>
    <s v="CAND100170"/>
    <s v="Pooja"/>
    <s v="Kapoor"/>
    <x v="1"/>
    <n v="37"/>
    <x v="2"/>
    <x v="1"/>
    <x v="2"/>
    <x v="159"/>
    <d v="2024-03-02T00:00:00"/>
    <d v="2024-03-09T00:00:00"/>
    <x v="3"/>
    <n v="2"/>
    <x v="2"/>
    <n v="941912"/>
  </r>
  <r>
    <s v="CAND100171"/>
    <s v="Priya"/>
    <s v="Joshi"/>
    <x v="1"/>
    <n v="41"/>
    <x v="5"/>
    <x v="3"/>
    <x v="3"/>
    <x v="160"/>
    <d v="2021-09-05T00:00:00"/>
    <d v="2021-09-10T00:00:00"/>
    <x v="4"/>
    <n v="2"/>
    <x v="3"/>
    <n v="303495"/>
  </r>
  <r>
    <s v="CAND100172"/>
    <s v="Neha"/>
    <s v="Iyer"/>
    <x v="0"/>
    <n v="31"/>
    <x v="1"/>
    <x v="3"/>
    <x v="0"/>
    <x v="52"/>
    <d v="2021-03-05T00:00:00"/>
    <d v="2021-03-11T00:00:00"/>
    <x v="4"/>
    <n v="4"/>
    <x v="1"/>
    <n v="366114"/>
  </r>
  <r>
    <s v="CAND100173"/>
    <s v="Amit"/>
    <s v="Mehta"/>
    <x v="1"/>
    <n v="35"/>
    <x v="4"/>
    <x v="2"/>
    <x v="2"/>
    <x v="161"/>
    <d v="2021-11-19T00:00:00"/>
    <m/>
    <x v="2"/>
    <n v="7"/>
    <x v="0"/>
    <n v="358771"/>
  </r>
  <r>
    <s v="CAND100174"/>
    <s v="Ankit"/>
    <s v="Gupta"/>
    <x v="1"/>
    <n v="36"/>
    <x v="2"/>
    <x v="4"/>
    <x v="2"/>
    <x v="162"/>
    <d v="2023-06-24T00:00:00"/>
    <m/>
    <x v="3"/>
    <n v="3"/>
    <x v="0"/>
    <n v="709679"/>
  </r>
  <r>
    <s v="CAND100175"/>
    <s v="Neha"/>
    <s v="Kapoor"/>
    <x v="1"/>
    <n v="37"/>
    <x v="4"/>
    <x v="4"/>
    <x v="1"/>
    <x v="163"/>
    <d v="2021-08-29T00:00:00"/>
    <m/>
    <x v="1"/>
    <n v="8"/>
    <x v="2"/>
    <n v="718278"/>
  </r>
  <r>
    <s v="CAND100176"/>
    <s v="Vikas"/>
    <s v="Patel"/>
    <x v="1"/>
    <n v="37"/>
    <x v="2"/>
    <x v="4"/>
    <x v="4"/>
    <x v="160"/>
    <d v="2021-09-14T00:00:00"/>
    <m/>
    <x v="4"/>
    <n v="10"/>
    <x v="0"/>
    <n v="597273"/>
  </r>
  <r>
    <s v="CAND100177"/>
    <s v="Rohit"/>
    <s v="Singh"/>
    <x v="0"/>
    <n v="24"/>
    <x v="2"/>
    <x v="3"/>
    <x v="0"/>
    <x v="164"/>
    <d v="2022-11-16T00:00:00"/>
    <d v="2022-11-21T00:00:00"/>
    <x v="0"/>
    <n v="7"/>
    <x v="0"/>
    <n v="743403"/>
  </r>
  <r>
    <s v="CAND100178"/>
    <s v="Karan"/>
    <s v="Kapoor"/>
    <x v="0"/>
    <n v="30"/>
    <x v="5"/>
    <x v="1"/>
    <x v="1"/>
    <x v="136"/>
    <d v="2024-03-23T00:00:00"/>
    <d v="2024-03-28T00:00:00"/>
    <x v="0"/>
    <n v="10"/>
    <x v="3"/>
    <n v="1189919"/>
  </r>
  <r>
    <s v="CAND100179"/>
    <s v="Sneha"/>
    <s v="Sharma"/>
    <x v="0"/>
    <n v="42"/>
    <x v="5"/>
    <x v="3"/>
    <x v="3"/>
    <x v="165"/>
    <d v="2021-12-27T00:00:00"/>
    <d v="2022-01-01T00:00:00"/>
    <x v="1"/>
    <n v="2"/>
    <x v="3"/>
    <n v="417928"/>
  </r>
  <r>
    <s v="CAND100180"/>
    <s v="Pooja"/>
    <s v="Patel"/>
    <x v="0"/>
    <n v="30"/>
    <x v="3"/>
    <x v="1"/>
    <x v="4"/>
    <x v="166"/>
    <d v="2022-08-25T00:00:00"/>
    <m/>
    <x v="1"/>
    <n v="10"/>
    <x v="3"/>
    <n v="947006"/>
  </r>
  <r>
    <s v="CAND100181"/>
    <s v="Pooja"/>
    <s v="Kapoor"/>
    <x v="1"/>
    <n v="30"/>
    <x v="1"/>
    <x v="0"/>
    <x v="4"/>
    <x v="167"/>
    <d v="2023-11-11T00:00:00"/>
    <m/>
    <x v="1"/>
    <n v="4"/>
    <x v="0"/>
    <n v="327775"/>
  </r>
  <r>
    <s v="CAND100182"/>
    <s v="Sneha"/>
    <s v="Mehta"/>
    <x v="0"/>
    <n v="26"/>
    <x v="5"/>
    <x v="0"/>
    <x v="0"/>
    <x v="168"/>
    <d v="2022-08-16T00:00:00"/>
    <m/>
    <x v="3"/>
    <n v="5"/>
    <x v="1"/>
    <n v="871287"/>
  </r>
  <r>
    <s v="CAND100183"/>
    <s v="Amit"/>
    <s v="Iyer"/>
    <x v="0"/>
    <n v="28"/>
    <x v="5"/>
    <x v="2"/>
    <x v="4"/>
    <x v="169"/>
    <d v="2022-08-21T00:00:00"/>
    <d v="2022-08-27T00:00:00"/>
    <x v="2"/>
    <n v="4"/>
    <x v="0"/>
    <n v="421281"/>
  </r>
  <r>
    <s v="CAND100184"/>
    <s v="Pooja"/>
    <s v="Iyer"/>
    <x v="0"/>
    <n v="33"/>
    <x v="4"/>
    <x v="4"/>
    <x v="1"/>
    <x v="100"/>
    <d v="2023-04-10T00:00:00"/>
    <m/>
    <x v="4"/>
    <n v="9"/>
    <x v="3"/>
    <n v="965744"/>
  </r>
  <r>
    <s v="CAND100185"/>
    <s v="Sneha"/>
    <s v="Sharma"/>
    <x v="1"/>
    <n v="37"/>
    <x v="0"/>
    <x v="1"/>
    <x v="1"/>
    <x v="170"/>
    <d v="2021-03-10T00:00:00"/>
    <d v="2021-03-14T00:00:00"/>
    <x v="1"/>
    <n v="8"/>
    <x v="2"/>
    <n v="948571"/>
  </r>
  <r>
    <s v="CAND100186"/>
    <s v="Rohit"/>
    <s v="Kapoor"/>
    <x v="1"/>
    <n v="41"/>
    <x v="3"/>
    <x v="1"/>
    <x v="0"/>
    <x v="171"/>
    <d v="2022-07-04T00:00:00"/>
    <m/>
    <x v="3"/>
    <n v="7"/>
    <x v="2"/>
    <n v="974792"/>
  </r>
  <r>
    <s v="CAND100187"/>
    <s v="Pooja"/>
    <s v="Verma"/>
    <x v="0"/>
    <n v="29"/>
    <x v="3"/>
    <x v="3"/>
    <x v="3"/>
    <x v="172"/>
    <d v="2023-09-11T00:00:00"/>
    <d v="2023-09-13T00:00:00"/>
    <x v="1"/>
    <n v="3"/>
    <x v="2"/>
    <n v="1162239"/>
  </r>
  <r>
    <s v="CAND100188"/>
    <s v="Amit"/>
    <s v="Sharma"/>
    <x v="0"/>
    <n v="42"/>
    <x v="4"/>
    <x v="1"/>
    <x v="4"/>
    <x v="173"/>
    <d v="2023-08-08T00:00:00"/>
    <d v="2023-08-15T00:00:00"/>
    <x v="3"/>
    <n v="8"/>
    <x v="1"/>
    <n v="986750"/>
  </r>
  <r>
    <s v="CAND100189"/>
    <s v="Pooja"/>
    <s v="Mehta"/>
    <x v="1"/>
    <n v="21"/>
    <x v="3"/>
    <x v="4"/>
    <x v="0"/>
    <x v="174"/>
    <d v="2021-09-19T00:00:00"/>
    <m/>
    <x v="0"/>
    <n v="2"/>
    <x v="0"/>
    <n v="568725"/>
  </r>
  <r>
    <s v="CAND100190"/>
    <s v="Pooja"/>
    <s v="Kapoor"/>
    <x v="0"/>
    <n v="29"/>
    <x v="2"/>
    <x v="1"/>
    <x v="4"/>
    <x v="175"/>
    <d v="2021-11-23T00:00:00"/>
    <m/>
    <x v="4"/>
    <n v="8"/>
    <x v="2"/>
    <n v="1034917"/>
  </r>
  <r>
    <s v="CAND100191"/>
    <s v="Ankit"/>
    <s v="Gupta"/>
    <x v="1"/>
    <n v="21"/>
    <x v="4"/>
    <x v="0"/>
    <x v="1"/>
    <x v="176"/>
    <d v="2021-09-30T00:00:00"/>
    <m/>
    <x v="0"/>
    <n v="10"/>
    <x v="2"/>
    <n v="696669"/>
  </r>
  <r>
    <s v="CAND100192"/>
    <s v="Sneha"/>
    <s v="Sharma"/>
    <x v="1"/>
    <n v="24"/>
    <x v="5"/>
    <x v="0"/>
    <x v="2"/>
    <x v="177"/>
    <d v="2021-01-27T00:00:00"/>
    <d v="2021-02-01T00:00:00"/>
    <x v="3"/>
    <n v="8"/>
    <x v="1"/>
    <n v="1044717"/>
  </r>
  <r>
    <s v="CAND100193"/>
    <s v="Vikas"/>
    <s v="Reddy"/>
    <x v="0"/>
    <n v="34"/>
    <x v="2"/>
    <x v="1"/>
    <x v="1"/>
    <x v="178"/>
    <d v="2022-10-17T00:00:00"/>
    <d v="2022-10-20T00:00:00"/>
    <x v="2"/>
    <n v="2"/>
    <x v="2"/>
    <n v="569404"/>
  </r>
  <r>
    <s v="CAND100194"/>
    <s v="Ankit"/>
    <s v="Mehta"/>
    <x v="1"/>
    <n v="29"/>
    <x v="4"/>
    <x v="2"/>
    <x v="3"/>
    <x v="179"/>
    <d v="2024-01-11T00:00:00"/>
    <d v="2024-01-14T00:00:00"/>
    <x v="1"/>
    <n v="7"/>
    <x v="2"/>
    <n v="554954"/>
  </r>
  <r>
    <s v="CAND100195"/>
    <s v="Priya"/>
    <s v="Singh"/>
    <x v="0"/>
    <n v="35"/>
    <x v="3"/>
    <x v="2"/>
    <x v="2"/>
    <x v="180"/>
    <d v="2023-08-03T00:00:00"/>
    <m/>
    <x v="1"/>
    <n v="8"/>
    <x v="1"/>
    <n v="902000"/>
  </r>
  <r>
    <s v="CAND100196"/>
    <s v="Pooja"/>
    <s v="Reddy"/>
    <x v="1"/>
    <n v="28"/>
    <x v="2"/>
    <x v="0"/>
    <x v="4"/>
    <x v="181"/>
    <d v="2021-11-26T00:00:00"/>
    <d v="2021-12-02T00:00:00"/>
    <x v="0"/>
    <n v="2"/>
    <x v="0"/>
    <n v="883606"/>
  </r>
  <r>
    <s v="CAND100197"/>
    <s v="Priya"/>
    <s v="Mehta"/>
    <x v="1"/>
    <n v="38"/>
    <x v="4"/>
    <x v="4"/>
    <x v="4"/>
    <x v="182"/>
    <d v="2023-10-09T00:00:00"/>
    <m/>
    <x v="2"/>
    <n v="10"/>
    <x v="2"/>
    <n v="511138"/>
  </r>
  <r>
    <s v="CAND100198"/>
    <s v="Amit"/>
    <s v="Kapoor"/>
    <x v="0"/>
    <n v="35"/>
    <x v="5"/>
    <x v="1"/>
    <x v="3"/>
    <x v="183"/>
    <d v="2021-03-16T00:00:00"/>
    <m/>
    <x v="1"/>
    <n v="8"/>
    <x v="3"/>
    <n v="522326"/>
  </r>
  <r>
    <s v="CAND100199"/>
    <s v="Ankit"/>
    <s v="Sharma"/>
    <x v="1"/>
    <n v="35"/>
    <x v="2"/>
    <x v="3"/>
    <x v="1"/>
    <x v="184"/>
    <d v="2022-12-28T00:00:00"/>
    <m/>
    <x v="4"/>
    <n v="8"/>
    <x v="3"/>
    <n v="384134"/>
  </r>
  <r>
    <s v="CAND100200"/>
    <s v="Neha"/>
    <s v="Joshi"/>
    <x v="0"/>
    <n v="22"/>
    <x v="1"/>
    <x v="1"/>
    <x v="4"/>
    <x v="185"/>
    <d v="2021-06-06T00:00:00"/>
    <m/>
    <x v="1"/>
    <n v="10"/>
    <x v="2"/>
    <n v="403098"/>
  </r>
  <r>
    <s v="CAND100201"/>
    <s v="Priya"/>
    <s v="Gupta"/>
    <x v="0"/>
    <n v="21"/>
    <x v="0"/>
    <x v="1"/>
    <x v="3"/>
    <x v="186"/>
    <d v="2021-07-08T00:00:00"/>
    <d v="2021-07-10T00:00:00"/>
    <x v="2"/>
    <n v="10"/>
    <x v="2"/>
    <n v="1002152"/>
  </r>
  <r>
    <s v="CAND100202"/>
    <s v="Pooja"/>
    <s v="Mehta"/>
    <x v="0"/>
    <n v="39"/>
    <x v="4"/>
    <x v="1"/>
    <x v="1"/>
    <x v="187"/>
    <d v="2022-08-19T00:00:00"/>
    <m/>
    <x v="2"/>
    <n v="2"/>
    <x v="0"/>
    <n v="1150823"/>
  </r>
  <r>
    <s v="CAND100203"/>
    <s v="Priya"/>
    <s v="Reddy"/>
    <x v="1"/>
    <n v="34"/>
    <x v="1"/>
    <x v="4"/>
    <x v="1"/>
    <x v="188"/>
    <d v="2021-08-27T00:00:00"/>
    <m/>
    <x v="4"/>
    <n v="8"/>
    <x v="0"/>
    <n v="617910"/>
  </r>
  <r>
    <s v="CAND100204"/>
    <s v="Ankit"/>
    <s v="Reddy"/>
    <x v="0"/>
    <n v="30"/>
    <x v="5"/>
    <x v="0"/>
    <x v="4"/>
    <x v="189"/>
    <d v="2024-03-20T00:00:00"/>
    <m/>
    <x v="3"/>
    <n v="4"/>
    <x v="2"/>
    <n v="1066038"/>
  </r>
  <r>
    <s v="CAND100205"/>
    <s v="Pooja"/>
    <s v="Patel"/>
    <x v="1"/>
    <n v="39"/>
    <x v="0"/>
    <x v="3"/>
    <x v="4"/>
    <x v="190"/>
    <d v="2023-08-23T00:00:00"/>
    <d v="2023-08-28T00:00:00"/>
    <x v="0"/>
    <n v="10"/>
    <x v="3"/>
    <n v="1181081"/>
  </r>
  <r>
    <s v="CAND100206"/>
    <s v="Priya"/>
    <s v="Iyer"/>
    <x v="1"/>
    <n v="22"/>
    <x v="1"/>
    <x v="3"/>
    <x v="2"/>
    <x v="191"/>
    <d v="2022-07-31T00:00:00"/>
    <m/>
    <x v="3"/>
    <n v="6"/>
    <x v="1"/>
    <n v="593151"/>
  </r>
  <r>
    <s v="CAND100207"/>
    <s v="Pooja"/>
    <s v="Reddy"/>
    <x v="0"/>
    <n v="31"/>
    <x v="0"/>
    <x v="1"/>
    <x v="2"/>
    <x v="9"/>
    <d v="2021-10-03T00:00:00"/>
    <m/>
    <x v="1"/>
    <n v="2"/>
    <x v="2"/>
    <n v="812791"/>
  </r>
  <r>
    <s v="CAND100208"/>
    <s v="Pooja"/>
    <s v="Gupta"/>
    <x v="0"/>
    <n v="24"/>
    <x v="4"/>
    <x v="0"/>
    <x v="0"/>
    <x v="192"/>
    <d v="2022-02-07T00:00:00"/>
    <m/>
    <x v="1"/>
    <n v="2"/>
    <x v="0"/>
    <n v="372822"/>
  </r>
  <r>
    <s v="CAND100209"/>
    <s v="Sneha"/>
    <s v="Patel"/>
    <x v="0"/>
    <n v="33"/>
    <x v="5"/>
    <x v="0"/>
    <x v="3"/>
    <x v="193"/>
    <d v="2022-06-24T00:00:00"/>
    <m/>
    <x v="1"/>
    <n v="2"/>
    <x v="0"/>
    <n v="828812"/>
  </r>
  <r>
    <s v="CAND100210"/>
    <s v="Neha"/>
    <s v="Reddy"/>
    <x v="1"/>
    <n v="32"/>
    <x v="5"/>
    <x v="3"/>
    <x v="0"/>
    <x v="194"/>
    <d v="2023-12-12T00:00:00"/>
    <d v="2023-12-17T00:00:00"/>
    <x v="0"/>
    <n v="5"/>
    <x v="3"/>
    <n v="736818"/>
  </r>
  <r>
    <s v="CAND100211"/>
    <s v="Vikas"/>
    <s v="Iyer"/>
    <x v="1"/>
    <n v="35"/>
    <x v="5"/>
    <x v="0"/>
    <x v="3"/>
    <x v="195"/>
    <d v="2023-11-11T00:00:00"/>
    <d v="2023-11-18T00:00:00"/>
    <x v="4"/>
    <n v="10"/>
    <x v="3"/>
    <n v="739799"/>
  </r>
  <r>
    <s v="CAND100212"/>
    <s v="Rohit"/>
    <s v="Kapoor"/>
    <x v="0"/>
    <n v="27"/>
    <x v="4"/>
    <x v="3"/>
    <x v="0"/>
    <x v="143"/>
    <d v="2023-08-11T00:00:00"/>
    <m/>
    <x v="0"/>
    <n v="6"/>
    <x v="3"/>
    <n v="395766"/>
  </r>
  <r>
    <s v="CAND100213"/>
    <s v="Karan"/>
    <s v="Mehta"/>
    <x v="0"/>
    <n v="29"/>
    <x v="1"/>
    <x v="1"/>
    <x v="3"/>
    <x v="31"/>
    <d v="2023-04-28T00:00:00"/>
    <d v="2023-05-04T00:00:00"/>
    <x v="0"/>
    <n v="9"/>
    <x v="1"/>
    <n v="1039785"/>
  </r>
  <r>
    <s v="CAND100214"/>
    <s v="Rahul"/>
    <s v="Kapoor"/>
    <x v="0"/>
    <n v="22"/>
    <x v="3"/>
    <x v="0"/>
    <x v="0"/>
    <x v="196"/>
    <d v="2023-02-16T00:00:00"/>
    <m/>
    <x v="0"/>
    <n v="6"/>
    <x v="0"/>
    <n v="987603"/>
  </r>
  <r>
    <s v="CAND100215"/>
    <s v="Amit"/>
    <s v="Sharma"/>
    <x v="1"/>
    <n v="42"/>
    <x v="0"/>
    <x v="2"/>
    <x v="4"/>
    <x v="108"/>
    <d v="2023-06-22T00:00:00"/>
    <d v="2023-06-29T00:00:00"/>
    <x v="2"/>
    <n v="9"/>
    <x v="3"/>
    <n v="808468"/>
  </r>
  <r>
    <s v="CAND100216"/>
    <s v="Vikas"/>
    <s v="Verma"/>
    <x v="1"/>
    <n v="36"/>
    <x v="4"/>
    <x v="4"/>
    <x v="1"/>
    <x v="197"/>
    <d v="2023-04-17T00:00:00"/>
    <m/>
    <x v="3"/>
    <n v="6"/>
    <x v="0"/>
    <n v="355097"/>
  </r>
  <r>
    <s v="CAND100217"/>
    <s v="Ankit"/>
    <s v="Patel"/>
    <x v="0"/>
    <n v="24"/>
    <x v="2"/>
    <x v="4"/>
    <x v="1"/>
    <x v="198"/>
    <d v="2023-03-18T00:00:00"/>
    <m/>
    <x v="2"/>
    <n v="6"/>
    <x v="2"/>
    <n v="753381"/>
  </r>
  <r>
    <s v="CAND100218"/>
    <s v="Amit"/>
    <s v="Kapoor"/>
    <x v="1"/>
    <n v="24"/>
    <x v="2"/>
    <x v="0"/>
    <x v="3"/>
    <x v="86"/>
    <d v="2021-04-25T00:00:00"/>
    <m/>
    <x v="0"/>
    <n v="6"/>
    <x v="0"/>
    <n v="1145583"/>
  </r>
  <r>
    <s v="CAND100219"/>
    <s v="Karan"/>
    <s v="Sharma"/>
    <x v="0"/>
    <n v="33"/>
    <x v="4"/>
    <x v="2"/>
    <x v="3"/>
    <x v="178"/>
    <d v="2022-10-12T00:00:00"/>
    <d v="2022-10-16T00:00:00"/>
    <x v="4"/>
    <n v="9"/>
    <x v="3"/>
    <n v="496439"/>
  </r>
  <r>
    <s v="CAND100220"/>
    <s v="Vikas"/>
    <s v="Gupta"/>
    <x v="1"/>
    <n v="42"/>
    <x v="0"/>
    <x v="0"/>
    <x v="1"/>
    <x v="199"/>
    <d v="2022-06-20T00:00:00"/>
    <m/>
    <x v="3"/>
    <n v="5"/>
    <x v="2"/>
    <n v="323331"/>
  </r>
  <r>
    <s v="CAND100221"/>
    <s v="Pooja"/>
    <s v="Reddy"/>
    <x v="1"/>
    <n v="37"/>
    <x v="5"/>
    <x v="0"/>
    <x v="0"/>
    <x v="200"/>
    <d v="2021-09-23T00:00:00"/>
    <m/>
    <x v="4"/>
    <n v="2"/>
    <x v="0"/>
    <n v="304020"/>
  </r>
  <r>
    <s v="CAND100222"/>
    <s v="Priya"/>
    <s v="Gupta"/>
    <x v="0"/>
    <n v="22"/>
    <x v="1"/>
    <x v="0"/>
    <x v="4"/>
    <x v="201"/>
    <d v="2023-09-10T00:00:00"/>
    <m/>
    <x v="0"/>
    <n v="2"/>
    <x v="1"/>
    <n v="493858"/>
  </r>
  <r>
    <s v="CAND100223"/>
    <s v="Neha"/>
    <s v="Gupta"/>
    <x v="0"/>
    <n v="32"/>
    <x v="2"/>
    <x v="3"/>
    <x v="4"/>
    <x v="202"/>
    <d v="2023-08-14T00:00:00"/>
    <m/>
    <x v="0"/>
    <n v="10"/>
    <x v="0"/>
    <n v="401976"/>
  </r>
  <r>
    <s v="CAND100224"/>
    <s v="Ankit"/>
    <s v="Patel"/>
    <x v="0"/>
    <n v="36"/>
    <x v="4"/>
    <x v="3"/>
    <x v="2"/>
    <x v="203"/>
    <d v="2023-03-28T00:00:00"/>
    <d v="2023-03-31T00:00:00"/>
    <x v="2"/>
    <n v="8"/>
    <x v="2"/>
    <n v="1127707"/>
  </r>
  <r>
    <s v="CAND100225"/>
    <s v="Pooja"/>
    <s v="Patel"/>
    <x v="0"/>
    <n v="45"/>
    <x v="5"/>
    <x v="2"/>
    <x v="0"/>
    <x v="204"/>
    <d v="2022-06-29T00:00:00"/>
    <m/>
    <x v="4"/>
    <n v="8"/>
    <x v="1"/>
    <n v="860366"/>
  </r>
  <r>
    <s v="CAND100226"/>
    <s v="Pooja"/>
    <s v="Joshi"/>
    <x v="1"/>
    <n v="25"/>
    <x v="5"/>
    <x v="0"/>
    <x v="0"/>
    <x v="2"/>
    <d v="2022-07-01T00:00:00"/>
    <d v="2022-07-05T00:00:00"/>
    <x v="2"/>
    <n v="8"/>
    <x v="2"/>
    <n v="794604"/>
  </r>
  <r>
    <s v="CAND100227"/>
    <s v="Amit"/>
    <s v="Iyer"/>
    <x v="0"/>
    <n v="35"/>
    <x v="3"/>
    <x v="2"/>
    <x v="0"/>
    <x v="205"/>
    <d v="2024-02-09T00:00:00"/>
    <d v="2024-02-14T00:00:00"/>
    <x v="3"/>
    <n v="6"/>
    <x v="2"/>
    <n v="604244"/>
  </r>
  <r>
    <s v="CAND100228"/>
    <s v="Sneha"/>
    <s v="Sharma"/>
    <x v="0"/>
    <n v="25"/>
    <x v="4"/>
    <x v="1"/>
    <x v="4"/>
    <x v="109"/>
    <d v="2024-01-03T00:00:00"/>
    <m/>
    <x v="0"/>
    <n v="8"/>
    <x v="0"/>
    <n v="643502"/>
  </r>
  <r>
    <s v="CAND100229"/>
    <s v="Sneha"/>
    <s v="Joshi"/>
    <x v="0"/>
    <n v="25"/>
    <x v="5"/>
    <x v="2"/>
    <x v="0"/>
    <x v="206"/>
    <d v="2024-03-08T00:00:00"/>
    <m/>
    <x v="1"/>
    <n v="6"/>
    <x v="1"/>
    <n v="752291"/>
  </r>
  <r>
    <s v="CAND100230"/>
    <s v="Priya"/>
    <s v="Sharma"/>
    <x v="1"/>
    <n v="44"/>
    <x v="1"/>
    <x v="0"/>
    <x v="0"/>
    <x v="207"/>
    <d v="2023-04-19T00:00:00"/>
    <d v="2023-04-23T00:00:00"/>
    <x v="0"/>
    <n v="3"/>
    <x v="1"/>
    <n v="1117952"/>
  </r>
  <r>
    <s v="CAND100231"/>
    <s v="Rahul"/>
    <s v="Gupta"/>
    <x v="1"/>
    <n v="41"/>
    <x v="4"/>
    <x v="4"/>
    <x v="3"/>
    <x v="208"/>
    <d v="2021-05-22T00:00:00"/>
    <m/>
    <x v="2"/>
    <n v="3"/>
    <x v="1"/>
    <n v="433168"/>
  </r>
  <r>
    <s v="CAND100232"/>
    <s v="Amit"/>
    <s v="Joshi"/>
    <x v="1"/>
    <n v="28"/>
    <x v="1"/>
    <x v="3"/>
    <x v="4"/>
    <x v="209"/>
    <d v="2024-02-17T00:00:00"/>
    <m/>
    <x v="3"/>
    <n v="9"/>
    <x v="2"/>
    <n v="450472"/>
  </r>
  <r>
    <s v="CAND100233"/>
    <s v="Rohit"/>
    <s v="Iyer"/>
    <x v="1"/>
    <n v="36"/>
    <x v="2"/>
    <x v="1"/>
    <x v="4"/>
    <x v="210"/>
    <d v="2023-08-13T00:00:00"/>
    <m/>
    <x v="3"/>
    <n v="5"/>
    <x v="3"/>
    <n v="357167"/>
  </r>
  <r>
    <s v="CAND100234"/>
    <s v="Karan"/>
    <s v="Mehta"/>
    <x v="1"/>
    <n v="23"/>
    <x v="4"/>
    <x v="2"/>
    <x v="3"/>
    <x v="211"/>
    <d v="2023-04-28T00:00:00"/>
    <m/>
    <x v="0"/>
    <n v="3"/>
    <x v="0"/>
    <n v="750664"/>
  </r>
  <r>
    <s v="CAND100235"/>
    <s v="Sneha"/>
    <s v="Iyer"/>
    <x v="0"/>
    <n v="33"/>
    <x v="5"/>
    <x v="4"/>
    <x v="2"/>
    <x v="212"/>
    <d v="2021-07-02T00:00:00"/>
    <d v="2021-07-05T00:00:00"/>
    <x v="4"/>
    <n v="5"/>
    <x v="1"/>
    <n v="949031"/>
  </r>
  <r>
    <s v="CAND100236"/>
    <s v="Pooja"/>
    <s v="Sharma"/>
    <x v="0"/>
    <n v="45"/>
    <x v="4"/>
    <x v="4"/>
    <x v="0"/>
    <x v="213"/>
    <d v="2024-02-11T00:00:00"/>
    <m/>
    <x v="2"/>
    <n v="10"/>
    <x v="0"/>
    <n v="342609"/>
  </r>
  <r>
    <s v="CAND100237"/>
    <s v="Amit"/>
    <s v="Reddy"/>
    <x v="1"/>
    <n v="28"/>
    <x v="4"/>
    <x v="4"/>
    <x v="3"/>
    <x v="214"/>
    <d v="2022-07-30T00:00:00"/>
    <m/>
    <x v="4"/>
    <n v="2"/>
    <x v="2"/>
    <n v="770067"/>
  </r>
  <r>
    <s v="CAND100238"/>
    <s v="Amit"/>
    <s v="Singh"/>
    <x v="0"/>
    <n v="25"/>
    <x v="0"/>
    <x v="3"/>
    <x v="1"/>
    <x v="215"/>
    <d v="2023-10-13T00:00:00"/>
    <d v="2023-10-18T00:00:00"/>
    <x v="3"/>
    <n v="10"/>
    <x v="0"/>
    <n v="1052996"/>
  </r>
  <r>
    <s v="CAND100239"/>
    <s v="Rahul"/>
    <s v="Reddy"/>
    <x v="1"/>
    <n v="30"/>
    <x v="1"/>
    <x v="1"/>
    <x v="1"/>
    <x v="216"/>
    <d v="2022-08-24T00:00:00"/>
    <d v="2022-08-31T00:00:00"/>
    <x v="1"/>
    <n v="2"/>
    <x v="2"/>
    <n v="1121818"/>
  </r>
  <r>
    <s v="CAND100240"/>
    <s v="Ankit"/>
    <s v="Sharma"/>
    <x v="0"/>
    <n v="23"/>
    <x v="1"/>
    <x v="0"/>
    <x v="0"/>
    <x v="217"/>
    <d v="2021-11-01T00:00:00"/>
    <d v="2021-11-04T00:00:00"/>
    <x v="2"/>
    <n v="5"/>
    <x v="2"/>
    <n v="425383"/>
  </r>
  <r>
    <s v="CAND100241"/>
    <s v="Priya"/>
    <s v="Reddy"/>
    <x v="1"/>
    <n v="40"/>
    <x v="1"/>
    <x v="3"/>
    <x v="2"/>
    <x v="218"/>
    <d v="2022-02-24T00:00:00"/>
    <m/>
    <x v="4"/>
    <n v="8"/>
    <x v="2"/>
    <n v="1050876"/>
  </r>
  <r>
    <s v="CAND100242"/>
    <s v="Rohit"/>
    <s v="Joshi"/>
    <x v="1"/>
    <n v="43"/>
    <x v="4"/>
    <x v="3"/>
    <x v="0"/>
    <x v="219"/>
    <d v="2023-07-11T00:00:00"/>
    <d v="2023-07-18T00:00:00"/>
    <x v="2"/>
    <n v="4"/>
    <x v="3"/>
    <n v="642740"/>
  </r>
  <r>
    <s v="CAND100243"/>
    <s v="Sneha"/>
    <s v="Patel"/>
    <x v="0"/>
    <n v="34"/>
    <x v="0"/>
    <x v="3"/>
    <x v="3"/>
    <x v="220"/>
    <d v="2022-09-20T00:00:00"/>
    <m/>
    <x v="2"/>
    <n v="5"/>
    <x v="3"/>
    <n v="546197"/>
  </r>
  <r>
    <s v="CAND100244"/>
    <s v="Pooja"/>
    <s v="Singh"/>
    <x v="1"/>
    <n v="28"/>
    <x v="4"/>
    <x v="4"/>
    <x v="2"/>
    <x v="221"/>
    <d v="2023-03-05T00:00:00"/>
    <d v="2023-03-11T00:00:00"/>
    <x v="1"/>
    <n v="5"/>
    <x v="1"/>
    <n v="685057"/>
  </r>
  <r>
    <s v="CAND100245"/>
    <s v="Pooja"/>
    <s v="Gupta"/>
    <x v="0"/>
    <n v="35"/>
    <x v="0"/>
    <x v="4"/>
    <x v="1"/>
    <x v="222"/>
    <d v="2021-11-17T00:00:00"/>
    <d v="2021-11-19T00:00:00"/>
    <x v="1"/>
    <n v="9"/>
    <x v="0"/>
    <n v="1082881"/>
  </r>
  <r>
    <s v="CAND100246"/>
    <s v="Priya"/>
    <s v="Sharma"/>
    <x v="0"/>
    <n v="22"/>
    <x v="2"/>
    <x v="0"/>
    <x v="4"/>
    <x v="223"/>
    <d v="2021-09-20T00:00:00"/>
    <m/>
    <x v="0"/>
    <n v="10"/>
    <x v="2"/>
    <n v="978731"/>
  </r>
  <r>
    <s v="CAND100247"/>
    <s v="Rohit"/>
    <s v="Mehta"/>
    <x v="0"/>
    <n v="21"/>
    <x v="5"/>
    <x v="2"/>
    <x v="4"/>
    <x v="224"/>
    <d v="2023-12-09T00:00:00"/>
    <m/>
    <x v="1"/>
    <n v="8"/>
    <x v="1"/>
    <n v="1056015"/>
  </r>
  <r>
    <s v="CAND100248"/>
    <s v="Sneha"/>
    <s v="Singh"/>
    <x v="1"/>
    <n v="34"/>
    <x v="2"/>
    <x v="3"/>
    <x v="1"/>
    <x v="225"/>
    <d v="2023-04-12T00:00:00"/>
    <d v="2023-04-17T00:00:00"/>
    <x v="4"/>
    <n v="2"/>
    <x v="1"/>
    <n v="721187"/>
  </r>
  <r>
    <s v="CAND100249"/>
    <s v="Priya"/>
    <s v="Kapoor"/>
    <x v="1"/>
    <n v="32"/>
    <x v="0"/>
    <x v="0"/>
    <x v="3"/>
    <x v="226"/>
    <d v="2023-10-21T00:00:00"/>
    <d v="2023-10-26T00:00:00"/>
    <x v="0"/>
    <n v="10"/>
    <x v="1"/>
    <n v="561175"/>
  </r>
  <r>
    <s v="CAND100250"/>
    <s v="Pooja"/>
    <s v="Reddy"/>
    <x v="0"/>
    <n v="27"/>
    <x v="3"/>
    <x v="3"/>
    <x v="4"/>
    <x v="227"/>
    <d v="2021-10-25T00:00:00"/>
    <m/>
    <x v="0"/>
    <n v="2"/>
    <x v="0"/>
    <n v="689137"/>
  </r>
  <r>
    <s v="CAND100251"/>
    <s v="Pooja"/>
    <s v="Kapoor"/>
    <x v="0"/>
    <n v="45"/>
    <x v="4"/>
    <x v="1"/>
    <x v="3"/>
    <x v="228"/>
    <d v="2021-07-04T00:00:00"/>
    <m/>
    <x v="0"/>
    <n v="3"/>
    <x v="0"/>
    <n v="1051231"/>
  </r>
  <r>
    <s v="CAND100252"/>
    <s v="Sneha"/>
    <s v="Gupta"/>
    <x v="1"/>
    <n v="21"/>
    <x v="3"/>
    <x v="2"/>
    <x v="2"/>
    <x v="229"/>
    <d v="2022-12-21T00:00:00"/>
    <m/>
    <x v="0"/>
    <n v="7"/>
    <x v="2"/>
    <n v="619195"/>
  </r>
  <r>
    <s v="CAND100253"/>
    <s v="Karan"/>
    <s v="Joshi"/>
    <x v="0"/>
    <n v="43"/>
    <x v="1"/>
    <x v="4"/>
    <x v="0"/>
    <x v="230"/>
    <d v="2023-02-10T00:00:00"/>
    <d v="2023-02-14T00:00:00"/>
    <x v="1"/>
    <n v="9"/>
    <x v="1"/>
    <n v="791743"/>
  </r>
  <r>
    <s v="CAND100254"/>
    <s v="Priya"/>
    <s v="Patel"/>
    <x v="1"/>
    <n v="44"/>
    <x v="3"/>
    <x v="0"/>
    <x v="0"/>
    <x v="231"/>
    <d v="2022-07-17T00:00:00"/>
    <d v="2022-07-23T00:00:00"/>
    <x v="0"/>
    <n v="4"/>
    <x v="2"/>
    <n v="518395"/>
  </r>
  <r>
    <s v="CAND100255"/>
    <s v="Karan"/>
    <s v="Reddy"/>
    <x v="0"/>
    <n v="34"/>
    <x v="2"/>
    <x v="3"/>
    <x v="3"/>
    <x v="232"/>
    <d v="2023-09-23T00:00:00"/>
    <m/>
    <x v="3"/>
    <n v="2"/>
    <x v="3"/>
    <n v="1044472"/>
  </r>
  <r>
    <s v="CAND100256"/>
    <s v="Rahul"/>
    <s v="Sharma"/>
    <x v="0"/>
    <n v="42"/>
    <x v="0"/>
    <x v="1"/>
    <x v="1"/>
    <x v="60"/>
    <d v="2022-04-19T00:00:00"/>
    <d v="2022-04-24T00:00:00"/>
    <x v="0"/>
    <n v="2"/>
    <x v="3"/>
    <n v="667592"/>
  </r>
  <r>
    <s v="CAND100257"/>
    <s v="Amit"/>
    <s v="Iyer"/>
    <x v="0"/>
    <n v="30"/>
    <x v="3"/>
    <x v="4"/>
    <x v="4"/>
    <x v="233"/>
    <d v="2023-11-14T00:00:00"/>
    <m/>
    <x v="4"/>
    <n v="5"/>
    <x v="2"/>
    <n v="771415"/>
  </r>
  <r>
    <s v="CAND100258"/>
    <s v="Sneha"/>
    <s v="Mehta"/>
    <x v="0"/>
    <n v="33"/>
    <x v="5"/>
    <x v="0"/>
    <x v="2"/>
    <x v="234"/>
    <d v="2023-08-15T00:00:00"/>
    <d v="2023-08-18T00:00:00"/>
    <x v="3"/>
    <n v="8"/>
    <x v="2"/>
    <n v="1105568"/>
  </r>
  <r>
    <s v="CAND100259"/>
    <s v="Rahul"/>
    <s v="Joshi"/>
    <x v="1"/>
    <n v="31"/>
    <x v="0"/>
    <x v="2"/>
    <x v="4"/>
    <x v="214"/>
    <d v="2022-07-31T00:00:00"/>
    <d v="2022-08-04T00:00:00"/>
    <x v="1"/>
    <n v="6"/>
    <x v="1"/>
    <n v="330795"/>
  </r>
  <r>
    <s v="CAND100260"/>
    <s v="Pooja"/>
    <s v="Gupta"/>
    <x v="1"/>
    <n v="37"/>
    <x v="5"/>
    <x v="1"/>
    <x v="0"/>
    <x v="235"/>
    <d v="2023-05-12T00:00:00"/>
    <m/>
    <x v="2"/>
    <n v="5"/>
    <x v="3"/>
    <n v="432165"/>
  </r>
  <r>
    <s v="CAND100261"/>
    <s v="Sneha"/>
    <s v="Joshi"/>
    <x v="0"/>
    <n v="42"/>
    <x v="5"/>
    <x v="1"/>
    <x v="3"/>
    <x v="147"/>
    <d v="2022-11-21T00:00:00"/>
    <d v="2022-11-23T00:00:00"/>
    <x v="0"/>
    <n v="8"/>
    <x v="0"/>
    <n v="527567"/>
  </r>
  <r>
    <s v="CAND100262"/>
    <s v="Amit"/>
    <s v="Singh"/>
    <x v="1"/>
    <n v="36"/>
    <x v="4"/>
    <x v="0"/>
    <x v="2"/>
    <x v="236"/>
    <d v="2023-07-14T00:00:00"/>
    <m/>
    <x v="0"/>
    <n v="6"/>
    <x v="3"/>
    <n v="1148402"/>
  </r>
  <r>
    <s v="CAND100263"/>
    <s v="Karan"/>
    <s v="Kapoor"/>
    <x v="1"/>
    <n v="32"/>
    <x v="1"/>
    <x v="4"/>
    <x v="1"/>
    <x v="237"/>
    <d v="2021-09-04T00:00:00"/>
    <d v="2021-09-07T00:00:00"/>
    <x v="1"/>
    <n v="3"/>
    <x v="1"/>
    <n v="633439"/>
  </r>
  <r>
    <s v="CAND100264"/>
    <s v="Neha"/>
    <s v="Kapoor"/>
    <x v="0"/>
    <n v="41"/>
    <x v="0"/>
    <x v="0"/>
    <x v="1"/>
    <x v="238"/>
    <d v="2023-11-16T00:00:00"/>
    <m/>
    <x v="1"/>
    <n v="8"/>
    <x v="3"/>
    <n v="915453"/>
  </r>
  <r>
    <s v="CAND100265"/>
    <s v="Rahul"/>
    <s v="Sharma"/>
    <x v="0"/>
    <n v="33"/>
    <x v="5"/>
    <x v="3"/>
    <x v="1"/>
    <x v="239"/>
    <d v="2021-08-08T00:00:00"/>
    <d v="2021-08-13T00:00:00"/>
    <x v="1"/>
    <n v="7"/>
    <x v="3"/>
    <n v="645276"/>
  </r>
  <r>
    <s v="CAND100266"/>
    <s v="Rahul"/>
    <s v="Reddy"/>
    <x v="1"/>
    <n v="44"/>
    <x v="1"/>
    <x v="0"/>
    <x v="1"/>
    <x v="240"/>
    <d v="2023-06-03T00:00:00"/>
    <m/>
    <x v="2"/>
    <n v="2"/>
    <x v="3"/>
    <n v="811607"/>
  </r>
  <r>
    <s v="CAND100267"/>
    <s v="Rahul"/>
    <s v="Iyer"/>
    <x v="1"/>
    <n v="24"/>
    <x v="1"/>
    <x v="0"/>
    <x v="0"/>
    <x v="218"/>
    <d v="2022-02-15T00:00:00"/>
    <m/>
    <x v="1"/>
    <n v="6"/>
    <x v="1"/>
    <n v="751584"/>
  </r>
  <r>
    <s v="CAND100268"/>
    <s v="Amit"/>
    <s v="Patel"/>
    <x v="0"/>
    <n v="34"/>
    <x v="4"/>
    <x v="3"/>
    <x v="0"/>
    <x v="241"/>
    <d v="2023-06-10T00:00:00"/>
    <d v="2023-06-12T00:00:00"/>
    <x v="2"/>
    <n v="3"/>
    <x v="2"/>
    <n v="756936"/>
  </r>
  <r>
    <s v="CAND100269"/>
    <s v="Ankit"/>
    <s v="Singh"/>
    <x v="0"/>
    <n v="26"/>
    <x v="3"/>
    <x v="2"/>
    <x v="3"/>
    <x v="242"/>
    <d v="2021-07-21T00:00:00"/>
    <d v="2021-07-28T00:00:00"/>
    <x v="3"/>
    <n v="5"/>
    <x v="2"/>
    <n v="971336"/>
  </r>
  <r>
    <s v="CAND100270"/>
    <s v="Neha"/>
    <s v="Iyer"/>
    <x v="1"/>
    <n v="26"/>
    <x v="5"/>
    <x v="2"/>
    <x v="0"/>
    <x v="193"/>
    <d v="2022-06-26T00:00:00"/>
    <d v="2022-06-28T00:00:00"/>
    <x v="1"/>
    <n v="7"/>
    <x v="3"/>
    <n v="486853"/>
  </r>
  <r>
    <s v="CAND100271"/>
    <s v="Priya"/>
    <s v="Verma"/>
    <x v="0"/>
    <n v="22"/>
    <x v="2"/>
    <x v="0"/>
    <x v="2"/>
    <x v="243"/>
    <d v="2022-05-04T00:00:00"/>
    <m/>
    <x v="0"/>
    <n v="4"/>
    <x v="0"/>
    <n v="819621"/>
  </r>
  <r>
    <s v="CAND100272"/>
    <s v="Sneha"/>
    <s v="Sharma"/>
    <x v="0"/>
    <n v="39"/>
    <x v="0"/>
    <x v="3"/>
    <x v="3"/>
    <x v="244"/>
    <d v="2021-10-26T00:00:00"/>
    <m/>
    <x v="4"/>
    <n v="9"/>
    <x v="0"/>
    <n v="422776"/>
  </r>
  <r>
    <s v="CAND100273"/>
    <s v="Amit"/>
    <s v="Verma"/>
    <x v="0"/>
    <n v="34"/>
    <x v="4"/>
    <x v="1"/>
    <x v="3"/>
    <x v="245"/>
    <d v="2023-12-23T00:00:00"/>
    <m/>
    <x v="3"/>
    <n v="9"/>
    <x v="2"/>
    <n v="896599"/>
  </r>
  <r>
    <s v="CAND100274"/>
    <s v="Rohit"/>
    <s v="Iyer"/>
    <x v="1"/>
    <n v="30"/>
    <x v="0"/>
    <x v="1"/>
    <x v="0"/>
    <x v="223"/>
    <d v="2021-09-24T00:00:00"/>
    <d v="2021-09-30T00:00:00"/>
    <x v="3"/>
    <n v="8"/>
    <x v="1"/>
    <n v="591447"/>
  </r>
  <r>
    <s v="CAND100275"/>
    <s v="Neha"/>
    <s v="Gupta"/>
    <x v="1"/>
    <n v="28"/>
    <x v="0"/>
    <x v="2"/>
    <x v="4"/>
    <x v="246"/>
    <d v="2022-08-07T00:00:00"/>
    <m/>
    <x v="0"/>
    <n v="8"/>
    <x v="3"/>
    <n v="1075430"/>
  </r>
  <r>
    <s v="CAND100276"/>
    <s v="Priya"/>
    <s v="Kapoor"/>
    <x v="1"/>
    <n v="42"/>
    <x v="0"/>
    <x v="0"/>
    <x v="1"/>
    <x v="158"/>
    <d v="2022-09-08T00:00:00"/>
    <m/>
    <x v="2"/>
    <n v="10"/>
    <x v="1"/>
    <n v="436965"/>
  </r>
  <r>
    <s v="CAND100277"/>
    <s v="Amit"/>
    <s v="Joshi"/>
    <x v="0"/>
    <n v="42"/>
    <x v="3"/>
    <x v="1"/>
    <x v="2"/>
    <x v="0"/>
    <d v="2022-09-03T00:00:00"/>
    <d v="2022-09-05T00:00:00"/>
    <x v="1"/>
    <n v="2"/>
    <x v="3"/>
    <n v="1018364"/>
  </r>
  <r>
    <s v="CAND100278"/>
    <s v="Vikas"/>
    <s v="Reddy"/>
    <x v="1"/>
    <n v="21"/>
    <x v="2"/>
    <x v="2"/>
    <x v="1"/>
    <x v="204"/>
    <d v="2022-06-30T00:00:00"/>
    <m/>
    <x v="2"/>
    <n v="8"/>
    <x v="3"/>
    <n v="1177822"/>
  </r>
  <r>
    <s v="CAND100279"/>
    <s v="Rohit"/>
    <s v="Gupta"/>
    <x v="0"/>
    <n v="36"/>
    <x v="4"/>
    <x v="4"/>
    <x v="2"/>
    <x v="57"/>
    <d v="2021-05-04T00:00:00"/>
    <d v="2021-05-08T00:00:00"/>
    <x v="3"/>
    <n v="4"/>
    <x v="2"/>
    <n v="413559"/>
  </r>
  <r>
    <s v="CAND100280"/>
    <s v="Ankit"/>
    <s v="Mehta"/>
    <x v="1"/>
    <n v="34"/>
    <x v="2"/>
    <x v="3"/>
    <x v="4"/>
    <x v="247"/>
    <d v="2024-01-02T00:00:00"/>
    <m/>
    <x v="4"/>
    <n v="9"/>
    <x v="2"/>
    <n v="343277"/>
  </r>
  <r>
    <s v="CAND100281"/>
    <s v="Neha"/>
    <s v="Reddy"/>
    <x v="1"/>
    <n v="35"/>
    <x v="1"/>
    <x v="0"/>
    <x v="2"/>
    <x v="248"/>
    <d v="2021-04-04T00:00:00"/>
    <m/>
    <x v="4"/>
    <n v="6"/>
    <x v="2"/>
    <n v="817657"/>
  </r>
  <r>
    <s v="CAND100282"/>
    <s v="Pooja"/>
    <s v="Mehta"/>
    <x v="1"/>
    <n v="44"/>
    <x v="1"/>
    <x v="0"/>
    <x v="2"/>
    <x v="249"/>
    <d v="2022-06-28T00:00:00"/>
    <d v="2022-06-30T00:00:00"/>
    <x v="4"/>
    <n v="2"/>
    <x v="1"/>
    <n v="1028341"/>
  </r>
  <r>
    <s v="CAND100283"/>
    <s v="Rahul"/>
    <s v="Reddy"/>
    <x v="1"/>
    <n v="32"/>
    <x v="4"/>
    <x v="3"/>
    <x v="1"/>
    <x v="250"/>
    <d v="2022-02-22T00:00:00"/>
    <d v="2022-02-27T00:00:00"/>
    <x v="0"/>
    <n v="7"/>
    <x v="0"/>
    <n v="723340"/>
  </r>
  <r>
    <s v="CAND100284"/>
    <s v="Pooja"/>
    <s v="Reddy"/>
    <x v="1"/>
    <n v="42"/>
    <x v="4"/>
    <x v="4"/>
    <x v="1"/>
    <x v="251"/>
    <d v="2021-09-23T00:00:00"/>
    <d v="2021-09-27T00:00:00"/>
    <x v="1"/>
    <n v="7"/>
    <x v="2"/>
    <n v="573117"/>
  </r>
  <r>
    <s v="CAND100285"/>
    <s v="Ankit"/>
    <s v="Iyer"/>
    <x v="0"/>
    <n v="22"/>
    <x v="4"/>
    <x v="2"/>
    <x v="0"/>
    <x v="252"/>
    <d v="2022-11-22T00:00:00"/>
    <d v="2022-11-29T00:00:00"/>
    <x v="4"/>
    <n v="8"/>
    <x v="1"/>
    <n v="475573"/>
  </r>
  <r>
    <s v="CAND100286"/>
    <s v="Pooja"/>
    <s v="Mehta"/>
    <x v="0"/>
    <n v="26"/>
    <x v="4"/>
    <x v="1"/>
    <x v="2"/>
    <x v="159"/>
    <d v="2024-03-06T00:00:00"/>
    <d v="2024-03-08T00:00:00"/>
    <x v="1"/>
    <n v="5"/>
    <x v="2"/>
    <n v="306102"/>
  </r>
  <r>
    <s v="CAND100287"/>
    <s v="Priya"/>
    <s v="Joshi"/>
    <x v="1"/>
    <n v="30"/>
    <x v="5"/>
    <x v="2"/>
    <x v="1"/>
    <x v="253"/>
    <d v="2023-10-07T00:00:00"/>
    <d v="2023-10-11T00:00:00"/>
    <x v="4"/>
    <n v="8"/>
    <x v="2"/>
    <n v="1167359"/>
  </r>
  <r>
    <s v="CAND100288"/>
    <s v="Pooja"/>
    <s v="Iyer"/>
    <x v="0"/>
    <n v="42"/>
    <x v="3"/>
    <x v="3"/>
    <x v="4"/>
    <x v="159"/>
    <d v="2024-03-12T00:00:00"/>
    <d v="2024-03-15T00:00:00"/>
    <x v="2"/>
    <n v="8"/>
    <x v="3"/>
    <n v="728563"/>
  </r>
  <r>
    <s v="CAND100289"/>
    <s v="Priya"/>
    <s v="Patel"/>
    <x v="1"/>
    <n v="39"/>
    <x v="3"/>
    <x v="1"/>
    <x v="0"/>
    <x v="254"/>
    <d v="2023-02-12T00:00:00"/>
    <d v="2023-02-15T00:00:00"/>
    <x v="3"/>
    <n v="4"/>
    <x v="1"/>
    <n v="751382"/>
  </r>
  <r>
    <s v="CAND100290"/>
    <s v="Rohit"/>
    <s v="Singh"/>
    <x v="1"/>
    <n v="24"/>
    <x v="0"/>
    <x v="3"/>
    <x v="4"/>
    <x v="255"/>
    <d v="2022-06-04T00:00:00"/>
    <m/>
    <x v="1"/>
    <n v="3"/>
    <x v="1"/>
    <n v="834694"/>
  </r>
  <r>
    <s v="CAND100291"/>
    <s v="Vikas"/>
    <s v="Iyer"/>
    <x v="1"/>
    <n v="29"/>
    <x v="1"/>
    <x v="3"/>
    <x v="4"/>
    <x v="256"/>
    <d v="2021-11-08T00:00:00"/>
    <d v="2021-11-15T00:00:00"/>
    <x v="3"/>
    <n v="2"/>
    <x v="1"/>
    <n v="460215"/>
  </r>
  <r>
    <s v="CAND100292"/>
    <s v="Rohit"/>
    <s v="Iyer"/>
    <x v="1"/>
    <n v="35"/>
    <x v="4"/>
    <x v="1"/>
    <x v="1"/>
    <x v="194"/>
    <d v="2023-12-12T00:00:00"/>
    <d v="2023-12-16T00:00:00"/>
    <x v="2"/>
    <n v="3"/>
    <x v="1"/>
    <n v="487735"/>
  </r>
  <r>
    <s v="CAND100293"/>
    <s v="Pooja"/>
    <s v="Mehta"/>
    <x v="1"/>
    <n v="29"/>
    <x v="4"/>
    <x v="1"/>
    <x v="1"/>
    <x v="257"/>
    <d v="2024-03-05T00:00:00"/>
    <m/>
    <x v="1"/>
    <n v="10"/>
    <x v="2"/>
    <n v="661331"/>
  </r>
  <r>
    <s v="CAND100294"/>
    <s v="Ankit"/>
    <s v="Gupta"/>
    <x v="0"/>
    <n v="27"/>
    <x v="3"/>
    <x v="2"/>
    <x v="3"/>
    <x v="258"/>
    <d v="2021-12-29T00:00:00"/>
    <m/>
    <x v="1"/>
    <n v="6"/>
    <x v="1"/>
    <n v="785335"/>
  </r>
  <r>
    <s v="CAND100295"/>
    <s v="Vikas"/>
    <s v="Reddy"/>
    <x v="1"/>
    <n v="45"/>
    <x v="0"/>
    <x v="3"/>
    <x v="1"/>
    <x v="259"/>
    <d v="2023-06-16T00:00:00"/>
    <m/>
    <x v="0"/>
    <n v="7"/>
    <x v="2"/>
    <n v="303816"/>
  </r>
  <r>
    <s v="CAND100296"/>
    <s v="Amit"/>
    <s v="Reddy"/>
    <x v="1"/>
    <n v="43"/>
    <x v="3"/>
    <x v="2"/>
    <x v="3"/>
    <x v="260"/>
    <d v="2022-09-18T00:00:00"/>
    <m/>
    <x v="3"/>
    <n v="5"/>
    <x v="0"/>
    <n v="933847"/>
  </r>
  <r>
    <s v="CAND100297"/>
    <s v="Rohit"/>
    <s v="Iyer"/>
    <x v="1"/>
    <n v="42"/>
    <x v="1"/>
    <x v="0"/>
    <x v="1"/>
    <x v="63"/>
    <d v="2021-09-03T00:00:00"/>
    <d v="2021-09-08T00:00:00"/>
    <x v="4"/>
    <n v="6"/>
    <x v="3"/>
    <n v="1051138"/>
  </r>
  <r>
    <s v="CAND100298"/>
    <s v="Sneha"/>
    <s v="Joshi"/>
    <x v="0"/>
    <n v="27"/>
    <x v="4"/>
    <x v="0"/>
    <x v="4"/>
    <x v="261"/>
    <d v="2023-09-15T00:00:00"/>
    <m/>
    <x v="0"/>
    <n v="7"/>
    <x v="1"/>
    <n v="1181263"/>
  </r>
  <r>
    <s v="CAND100299"/>
    <s v="Rohit"/>
    <s v="Singh"/>
    <x v="0"/>
    <n v="42"/>
    <x v="5"/>
    <x v="1"/>
    <x v="2"/>
    <x v="262"/>
    <d v="2022-04-27T00:00:00"/>
    <m/>
    <x v="1"/>
    <n v="3"/>
    <x v="2"/>
    <n v="495084"/>
  </r>
  <r>
    <s v="CAND100300"/>
    <s v="Rohit"/>
    <s v="Patel"/>
    <x v="0"/>
    <n v="37"/>
    <x v="0"/>
    <x v="2"/>
    <x v="0"/>
    <x v="221"/>
    <d v="2023-03-02T00:00:00"/>
    <d v="2023-03-09T00:00:00"/>
    <x v="4"/>
    <n v="5"/>
    <x v="1"/>
    <n v="854862"/>
  </r>
  <r>
    <s v="CAND100301"/>
    <s v="Rohit"/>
    <s v="Sharma"/>
    <x v="1"/>
    <n v="35"/>
    <x v="0"/>
    <x v="1"/>
    <x v="4"/>
    <x v="263"/>
    <d v="2024-04-07T00:00:00"/>
    <m/>
    <x v="3"/>
    <n v="7"/>
    <x v="2"/>
    <n v="448490"/>
  </r>
  <r>
    <s v="CAND100302"/>
    <s v="Pooja"/>
    <s v="Joshi"/>
    <x v="1"/>
    <n v="39"/>
    <x v="0"/>
    <x v="4"/>
    <x v="1"/>
    <x v="202"/>
    <d v="2023-08-21T00:00:00"/>
    <d v="2023-08-27T00:00:00"/>
    <x v="4"/>
    <n v="2"/>
    <x v="0"/>
    <n v="427938"/>
  </r>
  <r>
    <s v="CAND100303"/>
    <s v="Priya"/>
    <s v="Patel"/>
    <x v="1"/>
    <n v="31"/>
    <x v="3"/>
    <x v="2"/>
    <x v="4"/>
    <x v="264"/>
    <d v="2023-03-14T00:00:00"/>
    <d v="2023-03-20T00:00:00"/>
    <x v="2"/>
    <n v="4"/>
    <x v="0"/>
    <n v="534814"/>
  </r>
  <r>
    <s v="CAND100304"/>
    <s v="Priya"/>
    <s v="Reddy"/>
    <x v="0"/>
    <n v="37"/>
    <x v="1"/>
    <x v="2"/>
    <x v="0"/>
    <x v="265"/>
    <d v="2024-03-01T00:00:00"/>
    <m/>
    <x v="3"/>
    <n v="9"/>
    <x v="0"/>
    <n v="311539"/>
  </r>
  <r>
    <s v="CAND100305"/>
    <s v="Karan"/>
    <s v="Reddy"/>
    <x v="1"/>
    <n v="21"/>
    <x v="3"/>
    <x v="4"/>
    <x v="1"/>
    <x v="266"/>
    <d v="2021-04-01T00:00:00"/>
    <d v="2021-04-08T00:00:00"/>
    <x v="3"/>
    <n v="9"/>
    <x v="1"/>
    <n v="521771"/>
  </r>
  <r>
    <s v="CAND100306"/>
    <s v="Pooja"/>
    <s v="Iyer"/>
    <x v="1"/>
    <n v="44"/>
    <x v="1"/>
    <x v="0"/>
    <x v="0"/>
    <x v="267"/>
    <d v="2024-03-02T00:00:00"/>
    <d v="2024-03-06T00:00:00"/>
    <x v="4"/>
    <n v="7"/>
    <x v="0"/>
    <n v="1090899"/>
  </r>
  <r>
    <s v="CAND100307"/>
    <s v="Vikas"/>
    <s v="Kapoor"/>
    <x v="1"/>
    <n v="24"/>
    <x v="1"/>
    <x v="1"/>
    <x v="1"/>
    <x v="268"/>
    <d v="2022-08-30T00:00:00"/>
    <d v="2022-09-03T00:00:00"/>
    <x v="1"/>
    <n v="9"/>
    <x v="0"/>
    <n v="799801"/>
  </r>
  <r>
    <s v="CAND100308"/>
    <s v="Priya"/>
    <s v="Patel"/>
    <x v="0"/>
    <n v="34"/>
    <x v="5"/>
    <x v="1"/>
    <x v="4"/>
    <x v="269"/>
    <d v="2022-05-26T00:00:00"/>
    <m/>
    <x v="2"/>
    <n v="7"/>
    <x v="2"/>
    <n v="308787"/>
  </r>
  <r>
    <s v="CAND100309"/>
    <s v="Priya"/>
    <s v="Kapoor"/>
    <x v="0"/>
    <n v="41"/>
    <x v="3"/>
    <x v="1"/>
    <x v="3"/>
    <x v="270"/>
    <d v="2023-10-22T00:00:00"/>
    <d v="2023-10-24T00:00:00"/>
    <x v="0"/>
    <n v="3"/>
    <x v="1"/>
    <n v="368896"/>
  </r>
  <r>
    <s v="CAND100310"/>
    <s v="Ankit"/>
    <s v="Sharma"/>
    <x v="0"/>
    <n v="30"/>
    <x v="0"/>
    <x v="1"/>
    <x v="3"/>
    <x v="271"/>
    <d v="2021-03-05T00:00:00"/>
    <d v="2021-03-08T00:00:00"/>
    <x v="2"/>
    <n v="10"/>
    <x v="0"/>
    <n v="756428"/>
  </r>
  <r>
    <s v="CAND100311"/>
    <s v="Ankit"/>
    <s v="Patel"/>
    <x v="1"/>
    <n v="23"/>
    <x v="4"/>
    <x v="3"/>
    <x v="3"/>
    <x v="272"/>
    <d v="2021-08-04T00:00:00"/>
    <m/>
    <x v="1"/>
    <n v="10"/>
    <x v="2"/>
    <n v="1199675"/>
  </r>
  <r>
    <s v="CAND100312"/>
    <s v="Rohit"/>
    <s v="Gupta"/>
    <x v="1"/>
    <n v="23"/>
    <x v="5"/>
    <x v="2"/>
    <x v="2"/>
    <x v="273"/>
    <d v="2022-06-09T00:00:00"/>
    <m/>
    <x v="2"/>
    <n v="10"/>
    <x v="1"/>
    <n v="439555"/>
  </r>
  <r>
    <s v="CAND100313"/>
    <s v="Priya"/>
    <s v="Singh"/>
    <x v="1"/>
    <n v="30"/>
    <x v="4"/>
    <x v="0"/>
    <x v="1"/>
    <x v="274"/>
    <d v="2022-04-10T00:00:00"/>
    <m/>
    <x v="4"/>
    <n v="2"/>
    <x v="3"/>
    <n v="574207"/>
  </r>
  <r>
    <s v="CAND100314"/>
    <s v="Neha"/>
    <s v="Verma"/>
    <x v="1"/>
    <n v="44"/>
    <x v="5"/>
    <x v="3"/>
    <x v="1"/>
    <x v="275"/>
    <d v="2024-02-13T00:00:00"/>
    <m/>
    <x v="4"/>
    <n v="2"/>
    <x v="3"/>
    <n v="1127645"/>
  </r>
  <r>
    <s v="CAND100315"/>
    <s v="Amit"/>
    <s v="Verma"/>
    <x v="0"/>
    <n v="28"/>
    <x v="5"/>
    <x v="3"/>
    <x v="4"/>
    <x v="276"/>
    <d v="2024-04-08T00:00:00"/>
    <d v="2024-04-13T00:00:00"/>
    <x v="2"/>
    <n v="9"/>
    <x v="1"/>
    <n v="321374"/>
  </r>
  <r>
    <s v="CAND100316"/>
    <s v="Pooja"/>
    <s v="Singh"/>
    <x v="1"/>
    <n v="31"/>
    <x v="3"/>
    <x v="3"/>
    <x v="0"/>
    <x v="277"/>
    <d v="2022-09-02T00:00:00"/>
    <m/>
    <x v="1"/>
    <n v="10"/>
    <x v="0"/>
    <n v="826080"/>
  </r>
  <r>
    <s v="CAND100317"/>
    <s v="Amit"/>
    <s v="Kapoor"/>
    <x v="0"/>
    <n v="33"/>
    <x v="1"/>
    <x v="1"/>
    <x v="1"/>
    <x v="278"/>
    <d v="2023-05-27T00:00:00"/>
    <m/>
    <x v="3"/>
    <n v="4"/>
    <x v="0"/>
    <n v="387701"/>
  </r>
  <r>
    <s v="CAND100318"/>
    <s v="Amit"/>
    <s v="Patel"/>
    <x v="0"/>
    <n v="31"/>
    <x v="4"/>
    <x v="0"/>
    <x v="0"/>
    <x v="279"/>
    <d v="2022-11-01T00:00:00"/>
    <d v="2022-11-04T00:00:00"/>
    <x v="2"/>
    <n v="4"/>
    <x v="0"/>
    <n v="776164"/>
  </r>
  <r>
    <s v="CAND100319"/>
    <s v="Pooja"/>
    <s v="Singh"/>
    <x v="1"/>
    <n v="43"/>
    <x v="1"/>
    <x v="0"/>
    <x v="1"/>
    <x v="280"/>
    <d v="2021-05-07T00:00:00"/>
    <d v="2021-05-14T00:00:00"/>
    <x v="1"/>
    <n v="4"/>
    <x v="0"/>
    <n v="465447"/>
  </r>
  <r>
    <s v="CAND100320"/>
    <s v="Vikas"/>
    <s v="Kapoor"/>
    <x v="1"/>
    <n v="45"/>
    <x v="2"/>
    <x v="3"/>
    <x v="4"/>
    <x v="86"/>
    <d v="2021-04-23T00:00:00"/>
    <m/>
    <x v="1"/>
    <n v="9"/>
    <x v="1"/>
    <n v="1120628"/>
  </r>
  <r>
    <s v="CAND100321"/>
    <s v="Ankit"/>
    <s v="Kapoor"/>
    <x v="0"/>
    <n v="25"/>
    <x v="3"/>
    <x v="2"/>
    <x v="0"/>
    <x v="281"/>
    <d v="2021-09-16T00:00:00"/>
    <m/>
    <x v="0"/>
    <n v="7"/>
    <x v="1"/>
    <n v="1154938"/>
  </r>
  <r>
    <s v="CAND100322"/>
    <s v="Priya"/>
    <s v="Iyer"/>
    <x v="0"/>
    <n v="35"/>
    <x v="0"/>
    <x v="4"/>
    <x v="2"/>
    <x v="282"/>
    <d v="2021-01-14T00:00:00"/>
    <d v="2021-01-17T00:00:00"/>
    <x v="1"/>
    <n v="8"/>
    <x v="0"/>
    <n v="336077"/>
  </r>
  <r>
    <s v="CAND100323"/>
    <s v="Sneha"/>
    <s v="Mehta"/>
    <x v="1"/>
    <n v="22"/>
    <x v="1"/>
    <x v="1"/>
    <x v="2"/>
    <x v="283"/>
    <d v="2023-02-08T00:00:00"/>
    <d v="2023-02-15T00:00:00"/>
    <x v="1"/>
    <n v="8"/>
    <x v="0"/>
    <n v="913175"/>
  </r>
  <r>
    <s v="CAND100324"/>
    <s v="Vikas"/>
    <s v="Patel"/>
    <x v="0"/>
    <n v="35"/>
    <x v="5"/>
    <x v="2"/>
    <x v="3"/>
    <x v="13"/>
    <d v="2022-11-22T00:00:00"/>
    <d v="2022-11-24T00:00:00"/>
    <x v="1"/>
    <n v="6"/>
    <x v="0"/>
    <n v="533576"/>
  </r>
  <r>
    <s v="CAND100325"/>
    <s v="Amit"/>
    <s v="Singh"/>
    <x v="0"/>
    <n v="45"/>
    <x v="2"/>
    <x v="2"/>
    <x v="0"/>
    <x v="284"/>
    <d v="2022-06-16T00:00:00"/>
    <d v="2022-06-19T00:00:00"/>
    <x v="4"/>
    <n v="5"/>
    <x v="3"/>
    <n v="342293"/>
  </r>
  <r>
    <s v="CAND100326"/>
    <s v="Neha"/>
    <s v="Reddy"/>
    <x v="0"/>
    <n v="28"/>
    <x v="1"/>
    <x v="4"/>
    <x v="0"/>
    <x v="285"/>
    <d v="2023-10-05T00:00:00"/>
    <d v="2023-10-08T00:00:00"/>
    <x v="1"/>
    <n v="10"/>
    <x v="3"/>
    <n v="790239"/>
  </r>
  <r>
    <s v="CAND100327"/>
    <s v="Ankit"/>
    <s v="Sharma"/>
    <x v="0"/>
    <n v="28"/>
    <x v="5"/>
    <x v="0"/>
    <x v="4"/>
    <x v="212"/>
    <d v="2021-07-06T00:00:00"/>
    <d v="2021-07-09T00:00:00"/>
    <x v="1"/>
    <n v="5"/>
    <x v="2"/>
    <n v="1172499"/>
  </r>
  <r>
    <s v="CAND100328"/>
    <s v="Sneha"/>
    <s v="Singh"/>
    <x v="1"/>
    <n v="25"/>
    <x v="3"/>
    <x v="4"/>
    <x v="2"/>
    <x v="68"/>
    <d v="2021-03-31T00:00:00"/>
    <m/>
    <x v="1"/>
    <n v="8"/>
    <x v="2"/>
    <n v="691727"/>
  </r>
  <r>
    <s v="CAND100329"/>
    <s v="Neha"/>
    <s v="Reddy"/>
    <x v="1"/>
    <n v="31"/>
    <x v="0"/>
    <x v="3"/>
    <x v="0"/>
    <x v="286"/>
    <d v="2022-11-17T00:00:00"/>
    <d v="2022-11-21T00:00:00"/>
    <x v="4"/>
    <n v="4"/>
    <x v="1"/>
    <n v="594600"/>
  </r>
  <r>
    <s v="CAND100330"/>
    <s v="Priya"/>
    <s v="Singh"/>
    <x v="0"/>
    <n v="30"/>
    <x v="1"/>
    <x v="3"/>
    <x v="0"/>
    <x v="227"/>
    <d v="2021-11-04T00:00:00"/>
    <m/>
    <x v="3"/>
    <n v="3"/>
    <x v="1"/>
    <n v="663139"/>
  </r>
  <r>
    <s v="CAND100331"/>
    <s v="Karan"/>
    <s v="Mehta"/>
    <x v="0"/>
    <n v="25"/>
    <x v="4"/>
    <x v="3"/>
    <x v="0"/>
    <x v="287"/>
    <d v="2024-01-15T00:00:00"/>
    <m/>
    <x v="0"/>
    <n v="2"/>
    <x v="1"/>
    <n v="682202"/>
  </r>
  <r>
    <s v="CAND100332"/>
    <s v="Vikas"/>
    <s v="Joshi"/>
    <x v="0"/>
    <n v="44"/>
    <x v="5"/>
    <x v="4"/>
    <x v="1"/>
    <x v="288"/>
    <d v="2023-02-26T00:00:00"/>
    <m/>
    <x v="1"/>
    <n v="8"/>
    <x v="3"/>
    <n v="361539"/>
  </r>
  <r>
    <s v="CAND100333"/>
    <s v="Karan"/>
    <s v="Patel"/>
    <x v="1"/>
    <n v="43"/>
    <x v="1"/>
    <x v="2"/>
    <x v="2"/>
    <x v="274"/>
    <d v="2022-04-06T00:00:00"/>
    <m/>
    <x v="0"/>
    <n v="3"/>
    <x v="2"/>
    <n v="728529"/>
  </r>
  <r>
    <s v="CAND100334"/>
    <s v="Priya"/>
    <s v="Singh"/>
    <x v="1"/>
    <n v="30"/>
    <x v="0"/>
    <x v="3"/>
    <x v="3"/>
    <x v="289"/>
    <d v="2024-03-10T00:00:00"/>
    <d v="2024-03-14T00:00:00"/>
    <x v="1"/>
    <n v="7"/>
    <x v="2"/>
    <n v="1030842"/>
  </r>
  <r>
    <s v="CAND100335"/>
    <s v="Vikas"/>
    <s v="Gupta"/>
    <x v="0"/>
    <n v="45"/>
    <x v="5"/>
    <x v="2"/>
    <x v="1"/>
    <x v="290"/>
    <d v="2023-02-20T00:00:00"/>
    <d v="2023-02-27T00:00:00"/>
    <x v="0"/>
    <n v="9"/>
    <x v="1"/>
    <n v="885163"/>
  </r>
  <r>
    <s v="CAND100336"/>
    <s v="Priya"/>
    <s v="Sharma"/>
    <x v="0"/>
    <n v="26"/>
    <x v="2"/>
    <x v="4"/>
    <x v="1"/>
    <x v="166"/>
    <d v="2022-08-19T00:00:00"/>
    <m/>
    <x v="1"/>
    <n v="3"/>
    <x v="1"/>
    <n v="463518"/>
  </r>
  <r>
    <s v="CAND100337"/>
    <s v="Vikas"/>
    <s v="Singh"/>
    <x v="1"/>
    <n v="42"/>
    <x v="1"/>
    <x v="4"/>
    <x v="0"/>
    <x v="291"/>
    <d v="2022-04-08T00:00:00"/>
    <d v="2022-04-13T00:00:00"/>
    <x v="1"/>
    <n v="9"/>
    <x v="0"/>
    <n v="497987"/>
  </r>
  <r>
    <s v="CAND100338"/>
    <s v="Rahul"/>
    <s v="Patel"/>
    <x v="0"/>
    <n v="30"/>
    <x v="4"/>
    <x v="1"/>
    <x v="4"/>
    <x v="134"/>
    <d v="2021-05-25T00:00:00"/>
    <d v="2021-05-28T00:00:00"/>
    <x v="2"/>
    <n v="9"/>
    <x v="3"/>
    <n v="322709"/>
  </r>
  <r>
    <s v="CAND100339"/>
    <s v="Rohit"/>
    <s v="Joshi"/>
    <x v="1"/>
    <n v="42"/>
    <x v="4"/>
    <x v="3"/>
    <x v="1"/>
    <x v="292"/>
    <d v="2021-09-12T00:00:00"/>
    <m/>
    <x v="3"/>
    <n v="3"/>
    <x v="0"/>
    <n v="1122400"/>
  </r>
  <r>
    <s v="CAND100340"/>
    <s v="Neha"/>
    <s v="Reddy"/>
    <x v="1"/>
    <n v="36"/>
    <x v="5"/>
    <x v="3"/>
    <x v="3"/>
    <x v="293"/>
    <d v="2023-07-12T00:00:00"/>
    <m/>
    <x v="2"/>
    <n v="7"/>
    <x v="2"/>
    <n v="708069"/>
  </r>
  <r>
    <s v="CAND100341"/>
    <s v="Neha"/>
    <s v="Kapoor"/>
    <x v="1"/>
    <n v="39"/>
    <x v="5"/>
    <x v="4"/>
    <x v="4"/>
    <x v="294"/>
    <d v="2021-01-19T00:00:00"/>
    <d v="2021-01-26T00:00:00"/>
    <x v="0"/>
    <n v="10"/>
    <x v="0"/>
    <n v="827877"/>
  </r>
  <r>
    <s v="CAND100342"/>
    <s v="Karan"/>
    <s v="Singh"/>
    <x v="0"/>
    <n v="24"/>
    <x v="1"/>
    <x v="1"/>
    <x v="4"/>
    <x v="238"/>
    <d v="2023-11-12T00:00:00"/>
    <m/>
    <x v="2"/>
    <n v="10"/>
    <x v="2"/>
    <n v="773369"/>
  </r>
  <r>
    <s v="CAND100343"/>
    <s v="Karan"/>
    <s v="Singh"/>
    <x v="0"/>
    <n v="35"/>
    <x v="0"/>
    <x v="3"/>
    <x v="2"/>
    <x v="194"/>
    <d v="2023-12-04T00:00:00"/>
    <d v="2023-12-06T00:00:00"/>
    <x v="4"/>
    <n v="7"/>
    <x v="3"/>
    <n v="397168"/>
  </r>
  <r>
    <s v="CAND100344"/>
    <s v="Neha"/>
    <s v="Reddy"/>
    <x v="1"/>
    <n v="30"/>
    <x v="2"/>
    <x v="0"/>
    <x v="2"/>
    <x v="295"/>
    <d v="2022-10-15T00:00:00"/>
    <m/>
    <x v="0"/>
    <n v="10"/>
    <x v="0"/>
    <n v="559086"/>
  </r>
  <r>
    <s v="CAND100345"/>
    <s v="Karan"/>
    <s v="Verma"/>
    <x v="0"/>
    <n v="44"/>
    <x v="3"/>
    <x v="4"/>
    <x v="1"/>
    <x v="296"/>
    <d v="2022-03-02T00:00:00"/>
    <d v="2022-03-09T00:00:00"/>
    <x v="1"/>
    <n v="4"/>
    <x v="0"/>
    <n v="1172005"/>
  </r>
  <r>
    <s v="CAND100346"/>
    <s v="Pooja"/>
    <s v="Iyer"/>
    <x v="0"/>
    <n v="33"/>
    <x v="4"/>
    <x v="2"/>
    <x v="2"/>
    <x v="297"/>
    <d v="2022-05-10T00:00:00"/>
    <d v="2022-05-17T00:00:00"/>
    <x v="0"/>
    <n v="5"/>
    <x v="1"/>
    <n v="754517"/>
  </r>
  <r>
    <s v="CAND100347"/>
    <s v="Pooja"/>
    <s v="Kapoor"/>
    <x v="1"/>
    <n v="40"/>
    <x v="0"/>
    <x v="4"/>
    <x v="2"/>
    <x v="298"/>
    <d v="2023-02-02T00:00:00"/>
    <d v="2023-02-08T00:00:00"/>
    <x v="0"/>
    <n v="2"/>
    <x v="1"/>
    <n v="1040434"/>
  </r>
  <r>
    <s v="CAND100348"/>
    <s v="Rahul"/>
    <s v="Gupta"/>
    <x v="1"/>
    <n v="40"/>
    <x v="5"/>
    <x v="0"/>
    <x v="4"/>
    <x v="299"/>
    <d v="2023-06-13T00:00:00"/>
    <m/>
    <x v="1"/>
    <n v="2"/>
    <x v="0"/>
    <n v="513775"/>
  </r>
  <r>
    <s v="CAND100349"/>
    <s v="Karan"/>
    <s v="Kapoor"/>
    <x v="0"/>
    <n v="38"/>
    <x v="2"/>
    <x v="4"/>
    <x v="0"/>
    <x v="300"/>
    <d v="2021-12-12T00:00:00"/>
    <d v="2021-12-18T00:00:00"/>
    <x v="1"/>
    <n v="8"/>
    <x v="0"/>
    <n v="561498"/>
  </r>
  <r>
    <s v="CAND100350"/>
    <s v="Vikas"/>
    <s v="Sharma"/>
    <x v="0"/>
    <n v="33"/>
    <x v="5"/>
    <x v="1"/>
    <x v="1"/>
    <x v="301"/>
    <d v="2021-04-14T00:00:00"/>
    <m/>
    <x v="1"/>
    <n v="9"/>
    <x v="2"/>
    <n v="880026"/>
  </r>
  <r>
    <s v="CAND100351"/>
    <s v="Karan"/>
    <s v="Joshi"/>
    <x v="0"/>
    <n v="30"/>
    <x v="1"/>
    <x v="2"/>
    <x v="3"/>
    <x v="302"/>
    <d v="2024-03-15T00:00:00"/>
    <d v="2024-03-18T00:00:00"/>
    <x v="1"/>
    <n v="2"/>
    <x v="0"/>
    <n v="1187571"/>
  </r>
  <r>
    <s v="CAND100352"/>
    <s v="Priya"/>
    <s v="Joshi"/>
    <x v="0"/>
    <n v="21"/>
    <x v="3"/>
    <x v="0"/>
    <x v="1"/>
    <x v="303"/>
    <d v="2023-07-13T00:00:00"/>
    <d v="2023-07-20T00:00:00"/>
    <x v="2"/>
    <n v="4"/>
    <x v="2"/>
    <n v="574311"/>
  </r>
  <r>
    <s v="CAND100353"/>
    <s v="Vikas"/>
    <s v="Kapoor"/>
    <x v="1"/>
    <n v="36"/>
    <x v="3"/>
    <x v="0"/>
    <x v="2"/>
    <x v="80"/>
    <d v="2023-05-01T00:00:00"/>
    <m/>
    <x v="2"/>
    <n v="4"/>
    <x v="0"/>
    <n v="770247"/>
  </r>
  <r>
    <s v="CAND100354"/>
    <s v="Amit"/>
    <s v="Gupta"/>
    <x v="1"/>
    <n v="27"/>
    <x v="0"/>
    <x v="1"/>
    <x v="4"/>
    <x v="304"/>
    <d v="2023-08-20T00:00:00"/>
    <m/>
    <x v="3"/>
    <n v="3"/>
    <x v="0"/>
    <n v="1162187"/>
  </r>
  <r>
    <s v="CAND100355"/>
    <s v="Ankit"/>
    <s v="Verma"/>
    <x v="0"/>
    <n v="30"/>
    <x v="2"/>
    <x v="4"/>
    <x v="1"/>
    <x v="305"/>
    <d v="2023-03-28T00:00:00"/>
    <m/>
    <x v="0"/>
    <n v="5"/>
    <x v="1"/>
    <n v="896846"/>
  </r>
  <r>
    <s v="CAND100356"/>
    <s v="Priya"/>
    <s v="Verma"/>
    <x v="1"/>
    <n v="33"/>
    <x v="0"/>
    <x v="2"/>
    <x v="4"/>
    <x v="306"/>
    <d v="2023-07-24T00:00:00"/>
    <d v="2023-07-30T00:00:00"/>
    <x v="3"/>
    <n v="8"/>
    <x v="1"/>
    <n v="540316"/>
  </r>
  <r>
    <s v="CAND100357"/>
    <s v="Amit"/>
    <s v="Joshi"/>
    <x v="0"/>
    <n v="38"/>
    <x v="3"/>
    <x v="2"/>
    <x v="1"/>
    <x v="188"/>
    <d v="2021-08-29T00:00:00"/>
    <m/>
    <x v="3"/>
    <n v="4"/>
    <x v="1"/>
    <n v="883407"/>
  </r>
  <r>
    <s v="CAND100358"/>
    <s v="Rohit"/>
    <s v="Patel"/>
    <x v="0"/>
    <n v="21"/>
    <x v="4"/>
    <x v="4"/>
    <x v="2"/>
    <x v="307"/>
    <d v="2023-02-22T00:00:00"/>
    <d v="2023-02-28T00:00:00"/>
    <x v="2"/>
    <n v="3"/>
    <x v="1"/>
    <n v="310465"/>
  </r>
  <r>
    <s v="CAND100359"/>
    <s v="Neha"/>
    <s v="Gupta"/>
    <x v="1"/>
    <n v="30"/>
    <x v="5"/>
    <x v="3"/>
    <x v="3"/>
    <x v="308"/>
    <d v="2022-10-02T00:00:00"/>
    <m/>
    <x v="1"/>
    <n v="9"/>
    <x v="0"/>
    <n v="307878"/>
  </r>
  <r>
    <s v="CAND100360"/>
    <s v="Amit"/>
    <s v="Singh"/>
    <x v="0"/>
    <n v="45"/>
    <x v="5"/>
    <x v="1"/>
    <x v="2"/>
    <x v="97"/>
    <d v="2022-04-25T00:00:00"/>
    <m/>
    <x v="3"/>
    <n v="7"/>
    <x v="1"/>
    <n v="921502"/>
  </r>
  <r>
    <s v="CAND100361"/>
    <s v="Karan"/>
    <s v="Reddy"/>
    <x v="0"/>
    <n v="25"/>
    <x v="3"/>
    <x v="3"/>
    <x v="0"/>
    <x v="66"/>
    <d v="2022-11-13T00:00:00"/>
    <m/>
    <x v="2"/>
    <n v="4"/>
    <x v="2"/>
    <n v="783168"/>
  </r>
  <r>
    <s v="CAND100362"/>
    <s v="Sneha"/>
    <s v="Kapoor"/>
    <x v="1"/>
    <n v="21"/>
    <x v="4"/>
    <x v="2"/>
    <x v="2"/>
    <x v="309"/>
    <d v="2024-04-18T00:00:00"/>
    <d v="2024-04-21T00:00:00"/>
    <x v="2"/>
    <n v="2"/>
    <x v="3"/>
    <n v="996345"/>
  </r>
  <r>
    <s v="CAND100363"/>
    <s v="Sneha"/>
    <s v="Reddy"/>
    <x v="0"/>
    <n v="43"/>
    <x v="2"/>
    <x v="1"/>
    <x v="3"/>
    <x v="310"/>
    <d v="2023-10-06T00:00:00"/>
    <d v="2023-10-08T00:00:00"/>
    <x v="1"/>
    <n v="8"/>
    <x v="2"/>
    <n v="959029"/>
  </r>
  <r>
    <s v="CAND100364"/>
    <s v="Ankit"/>
    <s v="Reddy"/>
    <x v="0"/>
    <n v="42"/>
    <x v="2"/>
    <x v="3"/>
    <x v="2"/>
    <x v="311"/>
    <d v="2023-06-06T00:00:00"/>
    <m/>
    <x v="2"/>
    <n v="6"/>
    <x v="3"/>
    <n v="1070707"/>
  </r>
  <r>
    <s v="CAND100365"/>
    <s v="Priya"/>
    <s v="Patel"/>
    <x v="0"/>
    <n v="27"/>
    <x v="0"/>
    <x v="0"/>
    <x v="1"/>
    <x v="312"/>
    <d v="2022-07-12T00:00:00"/>
    <m/>
    <x v="2"/>
    <n v="9"/>
    <x v="0"/>
    <n v="1032522"/>
  </r>
  <r>
    <s v="CAND100366"/>
    <s v="Rahul"/>
    <s v="Mehta"/>
    <x v="0"/>
    <n v="41"/>
    <x v="2"/>
    <x v="3"/>
    <x v="4"/>
    <x v="11"/>
    <d v="2023-10-17T00:00:00"/>
    <m/>
    <x v="0"/>
    <n v="4"/>
    <x v="0"/>
    <n v="482101"/>
  </r>
  <r>
    <s v="CAND100367"/>
    <s v="Ankit"/>
    <s v="Kapoor"/>
    <x v="1"/>
    <n v="40"/>
    <x v="0"/>
    <x v="2"/>
    <x v="3"/>
    <x v="313"/>
    <d v="2023-08-02T00:00:00"/>
    <m/>
    <x v="2"/>
    <n v="4"/>
    <x v="1"/>
    <n v="306965"/>
  </r>
  <r>
    <s v="CAND100368"/>
    <s v="Priya"/>
    <s v="Kapoor"/>
    <x v="1"/>
    <n v="41"/>
    <x v="5"/>
    <x v="4"/>
    <x v="4"/>
    <x v="314"/>
    <d v="2021-03-21T00:00:00"/>
    <m/>
    <x v="4"/>
    <n v="5"/>
    <x v="2"/>
    <n v="653296"/>
  </r>
  <r>
    <s v="CAND100369"/>
    <s v="Ankit"/>
    <s v="Singh"/>
    <x v="0"/>
    <n v="34"/>
    <x v="2"/>
    <x v="2"/>
    <x v="3"/>
    <x v="236"/>
    <d v="2023-07-19T00:00:00"/>
    <d v="2023-07-25T00:00:00"/>
    <x v="4"/>
    <n v="9"/>
    <x v="1"/>
    <n v="484927"/>
  </r>
  <r>
    <s v="CAND100370"/>
    <s v="Priya"/>
    <s v="Joshi"/>
    <x v="1"/>
    <n v="23"/>
    <x v="2"/>
    <x v="2"/>
    <x v="4"/>
    <x v="315"/>
    <d v="2024-01-30T00:00:00"/>
    <m/>
    <x v="3"/>
    <n v="4"/>
    <x v="2"/>
    <n v="758537"/>
  </r>
  <r>
    <s v="CAND100371"/>
    <s v="Karan"/>
    <s v="Kapoor"/>
    <x v="0"/>
    <n v="28"/>
    <x v="0"/>
    <x v="3"/>
    <x v="1"/>
    <x v="316"/>
    <d v="2022-03-07T00:00:00"/>
    <m/>
    <x v="4"/>
    <n v="8"/>
    <x v="1"/>
    <n v="639159"/>
  </r>
  <r>
    <s v="CAND100372"/>
    <s v="Rahul"/>
    <s v="Mehta"/>
    <x v="0"/>
    <n v="44"/>
    <x v="3"/>
    <x v="4"/>
    <x v="0"/>
    <x v="317"/>
    <d v="2022-07-09T00:00:00"/>
    <m/>
    <x v="1"/>
    <n v="10"/>
    <x v="1"/>
    <n v="354890"/>
  </r>
  <r>
    <s v="CAND100373"/>
    <s v="Ankit"/>
    <s v="Patel"/>
    <x v="0"/>
    <n v="36"/>
    <x v="4"/>
    <x v="1"/>
    <x v="2"/>
    <x v="318"/>
    <d v="2022-02-22T00:00:00"/>
    <d v="2022-02-24T00:00:00"/>
    <x v="3"/>
    <n v="4"/>
    <x v="2"/>
    <n v="1185544"/>
  </r>
  <r>
    <s v="CAND100374"/>
    <s v="Amit"/>
    <s v="Iyer"/>
    <x v="1"/>
    <n v="33"/>
    <x v="0"/>
    <x v="0"/>
    <x v="3"/>
    <x v="319"/>
    <d v="2022-05-17T00:00:00"/>
    <d v="2022-05-19T00:00:00"/>
    <x v="2"/>
    <n v="9"/>
    <x v="3"/>
    <n v="943270"/>
  </r>
  <r>
    <s v="CAND100375"/>
    <s v="Rohit"/>
    <s v="Gupta"/>
    <x v="1"/>
    <n v="38"/>
    <x v="1"/>
    <x v="0"/>
    <x v="2"/>
    <x v="320"/>
    <d v="2023-04-09T00:00:00"/>
    <d v="2023-04-12T00:00:00"/>
    <x v="1"/>
    <n v="5"/>
    <x v="0"/>
    <n v="460595"/>
  </r>
  <r>
    <s v="CAND100376"/>
    <s v="Neha"/>
    <s v="Iyer"/>
    <x v="1"/>
    <n v="21"/>
    <x v="3"/>
    <x v="2"/>
    <x v="4"/>
    <x v="142"/>
    <d v="2021-03-29T00:00:00"/>
    <d v="2021-03-31T00:00:00"/>
    <x v="3"/>
    <n v="2"/>
    <x v="2"/>
    <n v="402495"/>
  </r>
  <r>
    <s v="CAND100377"/>
    <s v="Vikas"/>
    <s v="Joshi"/>
    <x v="1"/>
    <n v="34"/>
    <x v="2"/>
    <x v="1"/>
    <x v="2"/>
    <x v="321"/>
    <d v="2022-05-14T00:00:00"/>
    <d v="2022-05-21T00:00:00"/>
    <x v="3"/>
    <n v="6"/>
    <x v="2"/>
    <n v="1098909"/>
  </r>
  <r>
    <s v="CAND100378"/>
    <s v="Pooja"/>
    <s v="Mehta"/>
    <x v="1"/>
    <n v="28"/>
    <x v="3"/>
    <x v="4"/>
    <x v="2"/>
    <x v="322"/>
    <d v="2021-05-18T00:00:00"/>
    <d v="2021-05-25T00:00:00"/>
    <x v="4"/>
    <n v="7"/>
    <x v="1"/>
    <n v="1086909"/>
  </r>
  <r>
    <s v="CAND100379"/>
    <s v="Vikas"/>
    <s v="Iyer"/>
    <x v="0"/>
    <n v="36"/>
    <x v="2"/>
    <x v="2"/>
    <x v="0"/>
    <x v="323"/>
    <d v="2023-05-25T00:00:00"/>
    <d v="2023-05-27T00:00:00"/>
    <x v="3"/>
    <n v="2"/>
    <x v="1"/>
    <n v="610576"/>
  </r>
  <r>
    <s v="CAND100380"/>
    <s v="Sneha"/>
    <s v="Joshi"/>
    <x v="1"/>
    <n v="32"/>
    <x v="2"/>
    <x v="4"/>
    <x v="0"/>
    <x v="324"/>
    <d v="2023-05-07T00:00:00"/>
    <d v="2023-05-14T00:00:00"/>
    <x v="3"/>
    <n v="4"/>
    <x v="3"/>
    <n v="957231"/>
  </r>
  <r>
    <s v="CAND100381"/>
    <s v="Vikas"/>
    <s v="Iyer"/>
    <x v="0"/>
    <n v="31"/>
    <x v="2"/>
    <x v="4"/>
    <x v="4"/>
    <x v="325"/>
    <d v="2021-06-05T00:00:00"/>
    <m/>
    <x v="4"/>
    <n v="8"/>
    <x v="1"/>
    <n v="530949"/>
  </r>
  <r>
    <s v="CAND100382"/>
    <s v="Sneha"/>
    <s v="Joshi"/>
    <x v="1"/>
    <n v="42"/>
    <x v="3"/>
    <x v="2"/>
    <x v="0"/>
    <x v="210"/>
    <d v="2023-08-11T00:00:00"/>
    <m/>
    <x v="2"/>
    <n v="4"/>
    <x v="3"/>
    <n v="449025"/>
  </r>
  <r>
    <s v="CAND100383"/>
    <s v="Neha"/>
    <s v="Mehta"/>
    <x v="0"/>
    <n v="22"/>
    <x v="5"/>
    <x v="1"/>
    <x v="3"/>
    <x v="326"/>
    <d v="2021-05-05T00:00:00"/>
    <m/>
    <x v="0"/>
    <n v="2"/>
    <x v="3"/>
    <n v="937669"/>
  </r>
  <r>
    <s v="CAND100384"/>
    <s v="Amit"/>
    <s v="Patel"/>
    <x v="0"/>
    <n v="43"/>
    <x v="1"/>
    <x v="0"/>
    <x v="1"/>
    <x v="327"/>
    <d v="2022-08-23T00:00:00"/>
    <d v="2022-08-28T00:00:00"/>
    <x v="4"/>
    <n v="9"/>
    <x v="1"/>
    <n v="771003"/>
  </r>
  <r>
    <s v="CAND100385"/>
    <s v="Vikas"/>
    <s v="Kapoor"/>
    <x v="1"/>
    <n v="29"/>
    <x v="2"/>
    <x v="1"/>
    <x v="1"/>
    <x v="328"/>
    <d v="2024-04-22T00:00:00"/>
    <m/>
    <x v="1"/>
    <n v="9"/>
    <x v="3"/>
    <n v="964863"/>
  </r>
  <r>
    <s v="CAND100386"/>
    <s v="Priya"/>
    <s v="Gupta"/>
    <x v="0"/>
    <n v="38"/>
    <x v="0"/>
    <x v="4"/>
    <x v="0"/>
    <x v="329"/>
    <d v="2021-05-04T00:00:00"/>
    <d v="2021-05-11T00:00:00"/>
    <x v="3"/>
    <n v="10"/>
    <x v="3"/>
    <n v="427633"/>
  </r>
  <r>
    <s v="CAND100387"/>
    <s v="Priya"/>
    <s v="Joshi"/>
    <x v="1"/>
    <n v="25"/>
    <x v="4"/>
    <x v="0"/>
    <x v="0"/>
    <x v="330"/>
    <d v="2021-05-11T00:00:00"/>
    <d v="2021-05-18T00:00:00"/>
    <x v="0"/>
    <n v="10"/>
    <x v="3"/>
    <n v="686519"/>
  </r>
  <r>
    <s v="CAND100388"/>
    <s v="Amit"/>
    <s v="Patel"/>
    <x v="0"/>
    <n v="35"/>
    <x v="5"/>
    <x v="4"/>
    <x v="1"/>
    <x v="331"/>
    <d v="2022-12-02T00:00:00"/>
    <d v="2022-12-04T00:00:00"/>
    <x v="4"/>
    <n v="3"/>
    <x v="3"/>
    <n v="455230"/>
  </r>
  <r>
    <s v="CAND100389"/>
    <s v="Sneha"/>
    <s v="Gupta"/>
    <x v="1"/>
    <n v="22"/>
    <x v="3"/>
    <x v="1"/>
    <x v="2"/>
    <x v="332"/>
    <d v="2021-01-17T00:00:00"/>
    <m/>
    <x v="2"/>
    <n v="8"/>
    <x v="2"/>
    <n v="339497"/>
  </r>
  <r>
    <s v="CAND100390"/>
    <s v="Rohit"/>
    <s v="Mehta"/>
    <x v="0"/>
    <n v="28"/>
    <x v="2"/>
    <x v="4"/>
    <x v="1"/>
    <x v="333"/>
    <d v="2023-12-28T00:00:00"/>
    <d v="2024-01-02T00:00:00"/>
    <x v="1"/>
    <n v="6"/>
    <x v="2"/>
    <n v="1133597"/>
  </r>
  <r>
    <s v="CAND100391"/>
    <s v="Ankit"/>
    <s v="Kapoor"/>
    <x v="0"/>
    <n v="41"/>
    <x v="4"/>
    <x v="1"/>
    <x v="1"/>
    <x v="334"/>
    <d v="2023-12-26T00:00:00"/>
    <m/>
    <x v="4"/>
    <n v="7"/>
    <x v="0"/>
    <n v="522817"/>
  </r>
  <r>
    <s v="CAND100392"/>
    <s v="Rahul"/>
    <s v="Gupta"/>
    <x v="1"/>
    <n v="39"/>
    <x v="4"/>
    <x v="0"/>
    <x v="4"/>
    <x v="335"/>
    <d v="2023-02-12T00:00:00"/>
    <d v="2023-02-14T00:00:00"/>
    <x v="2"/>
    <n v="8"/>
    <x v="0"/>
    <n v="486527"/>
  </r>
  <r>
    <s v="CAND100393"/>
    <s v="Pooja"/>
    <s v="Iyer"/>
    <x v="1"/>
    <n v="22"/>
    <x v="1"/>
    <x v="3"/>
    <x v="3"/>
    <x v="336"/>
    <d v="2022-03-19T00:00:00"/>
    <m/>
    <x v="4"/>
    <n v="7"/>
    <x v="3"/>
    <n v="400602"/>
  </r>
  <r>
    <s v="CAND100394"/>
    <s v="Sneha"/>
    <s v="Kapoor"/>
    <x v="0"/>
    <n v="40"/>
    <x v="0"/>
    <x v="4"/>
    <x v="2"/>
    <x v="337"/>
    <d v="2022-10-19T00:00:00"/>
    <d v="2022-10-26T00:00:00"/>
    <x v="0"/>
    <n v="6"/>
    <x v="0"/>
    <n v="996406"/>
  </r>
  <r>
    <s v="CAND100395"/>
    <s v="Priya"/>
    <s v="Iyer"/>
    <x v="0"/>
    <n v="32"/>
    <x v="5"/>
    <x v="3"/>
    <x v="4"/>
    <x v="272"/>
    <d v="2021-08-03T00:00:00"/>
    <m/>
    <x v="0"/>
    <n v="4"/>
    <x v="3"/>
    <n v="839550"/>
  </r>
  <r>
    <s v="CAND100396"/>
    <s v="Rohit"/>
    <s v="Gupta"/>
    <x v="1"/>
    <n v="33"/>
    <x v="5"/>
    <x v="3"/>
    <x v="2"/>
    <x v="338"/>
    <d v="2022-01-11T00:00:00"/>
    <d v="2022-01-15T00:00:00"/>
    <x v="2"/>
    <n v="4"/>
    <x v="3"/>
    <n v="418304"/>
  </r>
  <r>
    <s v="CAND100397"/>
    <s v="Amit"/>
    <s v="Joshi"/>
    <x v="1"/>
    <n v="30"/>
    <x v="3"/>
    <x v="4"/>
    <x v="2"/>
    <x v="339"/>
    <d v="2023-03-01T00:00:00"/>
    <m/>
    <x v="2"/>
    <n v="4"/>
    <x v="1"/>
    <n v="709249"/>
  </r>
  <r>
    <s v="CAND100398"/>
    <s v="Pooja"/>
    <s v="Mehta"/>
    <x v="1"/>
    <n v="35"/>
    <x v="0"/>
    <x v="0"/>
    <x v="1"/>
    <x v="340"/>
    <d v="2023-11-24T00:00:00"/>
    <m/>
    <x v="2"/>
    <n v="4"/>
    <x v="0"/>
    <n v="357201"/>
  </r>
  <r>
    <s v="CAND100399"/>
    <s v="Neha"/>
    <s v="Patel"/>
    <x v="0"/>
    <n v="40"/>
    <x v="4"/>
    <x v="2"/>
    <x v="4"/>
    <x v="341"/>
    <d v="2024-04-17T00:00:00"/>
    <m/>
    <x v="4"/>
    <n v="9"/>
    <x v="1"/>
    <n v="410535"/>
  </r>
  <r>
    <s v="CAND100400"/>
    <s v="Vikas"/>
    <s v="Reddy"/>
    <x v="0"/>
    <n v="22"/>
    <x v="0"/>
    <x v="2"/>
    <x v="4"/>
    <x v="342"/>
    <d v="2021-10-20T00:00:00"/>
    <d v="2021-10-22T00:00:00"/>
    <x v="3"/>
    <n v="8"/>
    <x v="1"/>
    <n v="751250"/>
  </r>
  <r>
    <s v="CAND100401"/>
    <s v="Sneha"/>
    <s v="Verma"/>
    <x v="1"/>
    <n v="27"/>
    <x v="5"/>
    <x v="2"/>
    <x v="3"/>
    <x v="343"/>
    <d v="2021-11-17T00:00:00"/>
    <m/>
    <x v="2"/>
    <n v="8"/>
    <x v="0"/>
    <n v="319172"/>
  </r>
  <r>
    <s v="CAND100402"/>
    <s v="Pooja"/>
    <s v="Kapoor"/>
    <x v="0"/>
    <n v="38"/>
    <x v="2"/>
    <x v="0"/>
    <x v="1"/>
    <x v="10"/>
    <d v="2023-07-04T00:00:00"/>
    <d v="2023-07-09T00:00:00"/>
    <x v="3"/>
    <n v="3"/>
    <x v="2"/>
    <n v="445693"/>
  </r>
  <r>
    <s v="CAND100403"/>
    <s v="Priya"/>
    <s v="Kapoor"/>
    <x v="0"/>
    <n v="25"/>
    <x v="5"/>
    <x v="3"/>
    <x v="4"/>
    <x v="344"/>
    <d v="2021-04-06T00:00:00"/>
    <m/>
    <x v="1"/>
    <n v="7"/>
    <x v="3"/>
    <n v="614212"/>
  </r>
  <r>
    <s v="CAND100404"/>
    <s v="Ankit"/>
    <s v="Kapoor"/>
    <x v="1"/>
    <n v="29"/>
    <x v="1"/>
    <x v="1"/>
    <x v="4"/>
    <x v="124"/>
    <d v="2021-05-17T00:00:00"/>
    <m/>
    <x v="3"/>
    <n v="6"/>
    <x v="3"/>
    <n v="586821"/>
  </r>
  <r>
    <s v="CAND100405"/>
    <s v="Amit"/>
    <s v="Patel"/>
    <x v="1"/>
    <n v="22"/>
    <x v="5"/>
    <x v="1"/>
    <x v="1"/>
    <x v="345"/>
    <d v="2022-01-30T00:00:00"/>
    <m/>
    <x v="3"/>
    <n v="2"/>
    <x v="1"/>
    <n v="364492"/>
  </r>
  <r>
    <s v="CAND100406"/>
    <s v="Amit"/>
    <s v="Sharma"/>
    <x v="1"/>
    <n v="24"/>
    <x v="5"/>
    <x v="0"/>
    <x v="1"/>
    <x v="346"/>
    <d v="2023-10-08T00:00:00"/>
    <m/>
    <x v="0"/>
    <n v="5"/>
    <x v="3"/>
    <n v="450743"/>
  </r>
  <r>
    <s v="CAND100407"/>
    <s v="Neha"/>
    <s v="Mehta"/>
    <x v="1"/>
    <n v="37"/>
    <x v="2"/>
    <x v="1"/>
    <x v="4"/>
    <x v="347"/>
    <d v="2024-01-02T00:00:00"/>
    <d v="2024-01-09T00:00:00"/>
    <x v="1"/>
    <n v="4"/>
    <x v="0"/>
    <n v="673061"/>
  </r>
  <r>
    <s v="CAND100408"/>
    <s v="Vikas"/>
    <s v="Kapoor"/>
    <x v="1"/>
    <n v="41"/>
    <x v="3"/>
    <x v="1"/>
    <x v="3"/>
    <x v="348"/>
    <d v="2022-03-28T00:00:00"/>
    <m/>
    <x v="4"/>
    <n v="10"/>
    <x v="3"/>
    <n v="993139"/>
  </r>
  <r>
    <s v="CAND100409"/>
    <s v="Amit"/>
    <s v="Gupta"/>
    <x v="1"/>
    <n v="32"/>
    <x v="1"/>
    <x v="0"/>
    <x v="1"/>
    <x v="349"/>
    <d v="2021-03-02T00:00:00"/>
    <d v="2021-03-09T00:00:00"/>
    <x v="4"/>
    <n v="3"/>
    <x v="2"/>
    <n v="633336"/>
  </r>
  <r>
    <s v="CAND100410"/>
    <s v="Rohit"/>
    <s v="Iyer"/>
    <x v="1"/>
    <n v="25"/>
    <x v="5"/>
    <x v="1"/>
    <x v="2"/>
    <x v="221"/>
    <d v="2023-02-22T00:00:00"/>
    <d v="2023-02-24T00:00:00"/>
    <x v="3"/>
    <n v="4"/>
    <x v="1"/>
    <n v="1160931"/>
  </r>
  <r>
    <s v="CAND100411"/>
    <s v="Amit"/>
    <s v="Iyer"/>
    <x v="1"/>
    <n v="24"/>
    <x v="2"/>
    <x v="2"/>
    <x v="4"/>
    <x v="259"/>
    <d v="2023-06-13T00:00:00"/>
    <m/>
    <x v="2"/>
    <n v="5"/>
    <x v="1"/>
    <n v="303004"/>
  </r>
  <r>
    <s v="CAND100412"/>
    <s v="Rahul"/>
    <s v="Reddy"/>
    <x v="0"/>
    <n v="28"/>
    <x v="4"/>
    <x v="2"/>
    <x v="3"/>
    <x v="350"/>
    <d v="2021-06-25T00:00:00"/>
    <d v="2021-06-30T00:00:00"/>
    <x v="1"/>
    <n v="3"/>
    <x v="0"/>
    <n v="466156"/>
  </r>
  <r>
    <s v="CAND100413"/>
    <s v="Pooja"/>
    <s v="Patel"/>
    <x v="0"/>
    <n v="25"/>
    <x v="4"/>
    <x v="3"/>
    <x v="2"/>
    <x v="340"/>
    <d v="2023-11-27T00:00:00"/>
    <d v="2023-12-01T00:00:00"/>
    <x v="3"/>
    <n v="3"/>
    <x v="1"/>
    <n v="614172"/>
  </r>
  <r>
    <s v="CAND100414"/>
    <s v="Rahul"/>
    <s v="Patel"/>
    <x v="1"/>
    <n v="36"/>
    <x v="4"/>
    <x v="4"/>
    <x v="0"/>
    <x v="55"/>
    <d v="2021-06-07T00:00:00"/>
    <m/>
    <x v="1"/>
    <n v="5"/>
    <x v="2"/>
    <n v="610251"/>
  </r>
  <r>
    <s v="CAND100415"/>
    <s v="Amit"/>
    <s v="Singh"/>
    <x v="1"/>
    <n v="22"/>
    <x v="2"/>
    <x v="3"/>
    <x v="3"/>
    <x v="351"/>
    <d v="2023-06-21T00:00:00"/>
    <d v="2023-06-24T00:00:00"/>
    <x v="0"/>
    <n v="8"/>
    <x v="1"/>
    <n v="613189"/>
  </r>
  <r>
    <s v="CAND100416"/>
    <s v="Neha"/>
    <s v="Mehta"/>
    <x v="0"/>
    <n v="37"/>
    <x v="1"/>
    <x v="1"/>
    <x v="0"/>
    <x v="352"/>
    <d v="2023-06-13T00:00:00"/>
    <m/>
    <x v="4"/>
    <n v="9"/>
    <x v="3"/>
    <n v="1151561"/>
  </r>
  <r>
    <s v="CAND100417"/>
    <s v="Rohit"/>
    <s v="Sharma"/>
    <x v="0"/>
    <n v="38"/>
    <x v="0"/>
    <x v="4"/>
    <x v="2"/>
    <x v="353"/>
    <d v="2023-02-26T00:00:00"/>
    <d v="2023-03-02T00:00:00"/>
    <x v="3"/>
    <n v="7"/>
    <x v="1"/>
    <n v="1155513"/>
  </r>
  <r>
    <s v="CAND100418"/>
    <s v="Rohit"/>
    <s v="Patel"/>
    <x v="1"/>
    <n v="41"/>
    <x v="0"/>
    <x v="4"/>
    <x v="1"/>
    <x v="354"/>
    <d v="2023-03-25T00:00:00"/>
    <m/>
    <x v="1"/>
    <n v="2"/>
    <x v="1"/>
    <n v="1013607"/>
  </r>
  <r>
    <s v="CAND100419"/>
    <s v="Neha"/>
    <s v="Gupta"/>
    <x v="1"/>
    <n v="27"/>
    <x v="3"/>
    <x v="2"/>
    <x v="4"/>
    <x v="355"/>
    <d v="2021-06-22T00:00:00"/>
    <m/>
    <x v="0"/>
    <n v="6"/>
    <x v="1"/>
    <n v="1103634"/>
  </r>
  <r>
    <s v="CAND100420"/>
    <s v="Sneha"/>
    <s v="Sharma"/>
    <x v="1"/>
    <n v="30"/>
    <x v="4"/>
    <x v="1"/>
    <x v="3"/>
    <x v="356"/>
    <d v="2022-06-23T00:00:00"/>
    <d v="2022-06-26T00:00:00"/>
    <x v="0"/>
    <n v="4"/>
    <x v="0"/>
    <n v="888169"/>
  </r>
  <r>
    <s v="CAND100421"/>
    <s v="Neha"/>
    <s v="Iyer"/>
    <x v="1"/>
    <n v="37"/>
    <x v="5"/>
    <x v="3"/>
    <x v="3"/>
    <x v="323"/>
    <d v="2023-05-23T00:00:00"/>
    <d v="2023-05-28T00:00:00"/>
    <x v="1"/>
    <n v="5"/>
    <x v="0"/>
    <n v="1191111"/>
  </r>
  <r>
    <s v="CAND100422"/>
    <s v="Vikas"/>
    <s v="Singh"/>
    <x v="0"/>
    <n v="44"/>
    <x v="4"/>
    <x v="1"/>
    <x v="4"/>
    <x v="133"/>
    <d v="2023-04-24T00:00:00"/>
    <d v="2023-04-30T00:00:00"/>
    <x v="0"/>
    <n v="5"/>
    <x v="0"/>
    <n v="379285"/>
  </r>
  <r>
    <s v="CAND100423"/>
    <s v="Rohit"/>
    <s v="Singh"/>
    <x v="1"/>
    <n v="33"/>
    <x v="5"/>
    <x v="0"/>
    <x v="0"/>
    <x v="357"/>
    <d v="2022-09-28T00:00:00"/>
    <m/>
    <x v="2"/>
    <n v="7"/>
    <x v="1"/>
    <n v="380946"/>
  </r>
  <r>
    <s v="CAND100424"/>
    <s v="Neha"/>
    <s v="Gupta"/>
    <x v="1"/>
    <n v="23"/>
    <x v="1"/>
    <x v="1"/>
    <x v="4"/>
    <x v="358"/>
    <d v="2022-12-14T00:00:00"/>
    <d v="2022-12-20T00:00:00"/>
    <x v="2"/>
    <n v="5"/>
    <x v="0"/>
    <n v="779410"/>
  </r>
  <r>
    <s v="CAND100425"/>
    <s v="Sneha"/>
    <s v="Kapoor"/>
    <x v="0"/>
    <n v="21"/>
    <x v="5"/>
    <x v="1"/>
    <x v="1"/>
    <x v="359"/>
    <d v="2023-02-24T00:00:00"/>
    <m/>
    <x v="1"/>
    <n v="7"/>
    <x v="2"/>
    <n v="827727"/>
  </r>
  <r>
    <s v="CAND100426"/>
    <s v="Vikas"/>
    <s v="Joshi"/>
    <x v="1"/>
    <n v="28"/>
    <x v="0"/>
    <x v="2"/>
    <x v="1"/>
    <x v="74"/>
    <d v="2022-04-24T00:00:00"/>
    <d v="2022-05-01T00:00:00"/>
    <x v="1"/>
    <n v="8"/>
    <x v="1"/>
    <n v="825753"/>
  </r>
  <r>
    <s v="CAND100427"/>
    <s v="Karan"/>
    <s v="Iyer"/>
    <x v="1"/>
    <n v="42"/>
    <x v="1"/>
    <x v="4"/>
    <x v="4"/>
    <x v="360"/>
    <d v="2021-11-24T00:00:00"/>
    <d v="2021-11-28T00:00:00"/>
    <x v="1"/>
    <n v="3"/>
    <x v="3"/>
    <n v="326180"/>
  </r>
  <r>
    <s v="CAND100428"/>
    <s v="Rahul"/>
    <s v="Verma"/>
    <x v="0"/>
    <n v="42"/>
    <x v="3"/>
    <x v="0"/>
    <x v="3"/>
    <x v="361"/>
    <d v="2022-04-05T00:00:00"/>
    <d v="2022-04-07T00:00:00"/>
    <x v="4"/>
    <n v="5"/>
    <x v="3"/>
    <n v="1047025"/>
  </r>
  <r>
    <s v="CAND100429"/>
    <s v="Neha"/>
    <s v="Iyer"/>
    <x v="0"/>
    <n v="24"/>
    <x v="1"/>
    <x v="0"/>
    <x v="4"/>
    <x v="201"/>
    <d v="2023-09-10T00:00:00"/>
    <m/>
    <x v="1"/>
    <n v="10"/>
    <x v="2"/>
    <n v="999859"/>
  </r>
  <r>
    <s v="CAND100430"/>
    <s v="Ankit"/>
    <s v="Patel"/>
    <x v="0"/>
    <n v="24"/>
    <x v="2"/>
    <x v="4"/>
    <x v="2"/>
    <x v="324"/>
    <d v="2023-05-07T00:00:00"/>
    <d v="2023-05-10T00:00:00"/>
    <x v="0"/>
    <n v="7"/>
    <x v="0"/>
    <n v="957822"/>
  </r>
  <r>
    <s v="CAND100431"/>
    <s v="Sneha"/>
    <s v="Sharma"/>
    <x v="0"/>
    <n v="25"/>
    <x v="2"/>
    <x v="4"/>
    <x v="4"/>
    <x v="362"/>
    <d v="2023-12-28T00:00:00"/>
    <m/>
    <x v="2"/>
    <n v="4"/>
    <x v="1"/>
    <n v="1078384"/>
  </r>
  <r>
    <s v="CAND100432"/>
    <s v="Amit"/>
    <s v="Gupta"/>
    <x v="1"/>
    <n v="45"/>
    <x v="0"/>
    <x v="2"/>
    <x v="0"/>
    <x v="363"/>
    <d v="2023-03-21T00:00:00"/>
    <m/>
    <x v="1"/>
    <n v="9"/>
    <x v="3"/>
    <n v="426742"/>
  </r>
  <r>
    <s v="CAND100433"/>
    <s v="Rohit"/>
    <s v="Patel"/>
    <x v="0"/>
    <n v="28"/>
    <x v="4"/>
    <x v="3"/>
    <x v="4"/>
    <x v="364"/>
    <d v="2022-04-22T00:00:00"/>
    <d v="2022-04-25T00:00:00"/>
    <x v="0"/>
    <n v="10"/>
    <x v="3"/>
    <n v="812666"/>
  </r>
  <r>
    <s v="CAND100434"/>
    <s v="Karan"/>
    <s v="Patel"/>
    <x v="1"/>
    <n v="22"/>
    <x v="1"/>
    <x v="0"/>
    <x v="3"/>
    <x v="161"/>
    <d v="2021-11-13T00:00:00"/>
    <d v="2021-11-15T00:00:00"/>
    <x v="3"/>
    <n v="7"/>
    <x v="3"/>
    <n v="533179"/>
  </r>
  <r>
    <s v="CAND100435"/>
    <s v="Neha"/>
    <s v="Iyer"/>
    <x v="0"/>
    <n v="34"/>
    <x v="2"/>
    <x v="2"/>
    <x v="2"/>
    <x v="102"/>
    <d v="2021-08-21T00:00:00"/>
    <m/>
    <x v="4"/>
    <n v="6"/>
    <x v="2"/>
    <n v="538518"/>
  </r>
  <r>
    <s v="CAND100436"/>
    <s v="Neha"/>
    <s v="Reddy"/>
    <x v="0"/>
    <n v="26"/>
    <x v="5"/>
    <x v="1"/>
    <x v="4"/>
    <x v="365"/>
    <d v="2023-06-17T00:00:00"/>
    <d v="2023-06-22T00:00:00"/>
    <x v="3"/>
    <n v="5"/>
    <x v="1"/>
    <n v="854414"/>
  </r>
  <r>
    <s v="CAND100437"/>
    <s v="Karan"/>
    <s v="Singh"/>
    <x v="1"/>
    <n v="44"/>
    <x v="4"/>
    <x v="3"/>
    <x v="1"/>
    <x v="366"/>
    <d v="2022-07-29T00:00:00"/>
    <d v="2022-08-05T00:00:00"/>
    <x v="3"/>
    <n v="10"/>
    <x v="2"/>
    <n v="1010210"/>
  </r>
  <r>
    <s v="CAND100438"/>
    <s v="Vikas"/>
    <s v="Joshi"/>
    <x v="0"/>
    <n v="45"/>
    <x v="4"/>
    <x v="4"/>
    <x v="1"/>
    <x v="367"/>
    <d v="2021-05-24T00:00:00"/>
    <m/>
    <x v="1"/>
    <n v="6"/>
    <x v="0"/>
    <n v="435330"/>
  </r>
  <r>
    <s v="CAND100439"/>
    <s v="Karan"/>
    <s v="Reddy"/>
    <x v="1"/>
    <n v="32"/>
    <x v="3"/>
    <x v="2"/>
    <x v="3"/>
    <x v="159"/>
    <d v="2024-03-04T00:00:00"/>
    <d v="2024-03-09T00:00:00"/>
    <x v="1"/>
    <n v="5"/>
    <x v="3"/>
    <n v="704163"/>
  </r>
  <r>
    <s v="CAND100440"/>
    <s v="Karan"/>
    <s v="Sharma"/>
    <x v="0"/>
    <n v="39"/>
    <x v="1"/>
    <x v="0"/>
    <x v="3"/>
    <x v="368"/>
    <d v="2022-03-10T00:00:00"/>
    <m/>
    <x v="4"/>
    <n v="9"/>
    <x v="3"/>
    <n v="649338"/>
  </r>
  <r>
    <s v="CAND100441"/>
    <s v="Ankit"/>
    <s v="Mehta"/>
    <x v="1"/>
    <n v="38"/>
    <x v="3"/>
    <x v="2"/>
    <x v="0"/>
    <x v="211"/>
    <d v="2023-04-29T00:00:00"/>
    <d v="2023-05-01T00:00:00"/>
    <x v="4"/>
    <n v="9"/>
    <x v="2"/>
    <n v="1177289"/>
  </r>
  <r>
    <s v="CAND100442"/>
    <s v="Vikas"/>
    <s v="Iyer"/>
    <x v="1"/>
    <n v="39"/>
    <x v="4"/>
    <x v="1"/>
    <x v="1"/>
    <x v="369"/>
    <d v="2021-07-10T00:00:00"/>
    <d v="2021-07-13T00:00:00"/>
    <x v="4"/>
    <n v="4"/>
    <x v="1"/>
    <n v="323691"/>
  </r>
  <r>
    <s v="CAND100443"/>
    <s v="Priya"/>
    <s v="Singh"/>
    <x v="1"/>
    <n v="35"/>
    <x v="4"/>
    <x v="0"/>
    <x v="2"/>
    <x v="270"/>
    <d v="2023-10-18T00:00:00"/>
    <m/>
    <x v="4"/>
    <n v="10"/>
    <x v="0"/>
    <n v="718581"/>
  </r>
  <r>
    <s v="CAND100444"/>
    <s v="Amit"/>
    <s v="Joshi"/>
    <x v="0"/>
    <n v="22"/>
    <x v="1"/>
    <x v="4"/>
    <x v="3"/>
    <x v="370"/>
    <d v="2023-10-03T00:00:00"/>
    <d v="2023-10-10T00:00:00"/>
    <x v="0"/>
    <n v="7"/>
    <x v="2"/>
    <n v="365496"/>
  </r>
  <r>
    <s v="CAND100445"/>
    <s v="Priya"/>
    <s v="Singh"/>
    <x v="0"/>
    <n v="41"/>
    <x v="1"/>
    <x v="4"/>
    <x v="2"/>
    <x v="18"/>
    <d v="2023-02-02T00:00:00"/>
    <d v="2023-02-04T00:00:00"/>
    <x v="1"/>
    <n v="7"/>
    <x v="0"/>
    <n v="390428"/>
  </r>
  <r>
    <s v="CAND100446"/>
    <s v="Neha"/>
    <s v="Reddy"/>
    <x v="1"/>
    <n v="36"/>
    <x v="4"/>
    <x v="0"/>
    <x v="0"/>
    <x v="371"/>
    <d v="2022-09-11T00:00:00"/>
    <d v="2022-09-17T00:00:00"/>
    <x v="0"/>
    <n v="3"/>
    <x v="1"/>
    <n v="504841"/>
  </r>
  <r>
    <s v="CAND100447"/>
    <s v="Sneha"/>
    <s v="Mehta"/>
    <x v="0"/>
    <n v="39"/>
    <x v="5"/>
    <x v="3"/>
    <x v="2"/>
    <x v="78"/>
    <d v="2021-10-20T00:00:00"/>
    <d v="2021-10-22T00:00:00"/>
    <x v="0"/>
    <n v="6"/>
    <x v="1"/>
    <n v="912832"/>
  </r>
  <r>
    <s v="CAND100448"/>
    <s v="Vikas"/>
    <s v="Verma"/>
    <x v="1"/>
    <n v="40"/>
    <x v="1"/>
    <x v="3"/>
    <x v="4"/>
    <x v="372"/>
    <d v="2021-05-28T00:00:00"/>
    <m/>
    <x v="1"/>
    <n v="9"/>
    <x v="3"/>
    <n v="679334"/>
  </r>
  <r>
    <s v="CAND100449"/>
    <s v="Sneha"/>
    <s v="Reddy"/>
    <x v="1"/>
    <n v="36"/>
    <x v="2"/>
    <x v="1"/>
    <x v="3"/>
    <x v="169"/>
    <d v="2022-08-18T00:00:00"/>
    <m/>
    <x v="0"/>
    <n v="5"/>
    <x v="3"/>
    <n v="970028"/>
  </r>
  <r>
    <s v="CAND100450"/>
    <s v="Pooja"/>
    <s v="Mehta"/>
    <x v="1"/>
    <n v="41"/>
    <x v="3"/>
    <x v="2"/>
    <x v="4"/>
    <x v="373"/>
    <d v="2023-11-23T00:00:00"/>
    <m/>
    <x v="1"/>
    <n v="5"/>
    <x v="1"/>
    <n v="1173085"/>
  </r>
  <r>
    <s v="CAND100451"/>
    <s v="Ankit"/>
    <s v="Joshi"/>
    <x v="0"/>
    <n v="28"/>
    <x v="4"/>
    <x v="2"/>
    <x v="0"/>
    <x v="374"/>
    <d v="2022-08-16T00:00:00"/>
    <m/>
    <x v="3"/>
    <n v="8"/>
    <x v="0"/>
    <n v="762195"/>
  </r>
  <r>
    <s v="CAND100452"/>
    <s v="Priya"/>
    <s v="Verma"/>
    <x v="0"/>
    <n v="22"/>
    <x v="2"/>
    <x v="4"/>
    <x v="1"/>
    <x v="170"/>
    <d v="2021-03-16T00:00:00"/>
    <m/>
    <x v="1"/>
    <n v="6"/>
    <x v="0"/>
    <n v="662094"/>
  </r>
  <r>
    <s v="CAND100453"/>
    <s v="Neha"/>
    <s v="Joshi"/>
    <x v="0"/>
    <n v="37"/>
    <x v="2"/>
    <x v="0"/>
    <x v="2"/>
    <x v="125"/>
    <d v="2023-08-26T00:00:00"/>
    <d v="2023-09-01T00:00:00"/>
    <x v="2"/>
    <n v="6"/>
    <x v="1"/>
    <n v="501381"/>
  </r>
  <r>
    <s v="CAND100454"/>
    <s v="Rohit"/>
    <s v="Joshi"/>
    <x v="1"/>
    <n v="32"/>
    <x v="4"/>
    <x v="2"/>
    <x v="2"/>
    <x v="191"/>
    <d v="2022-08-06T00:00:00"/>
    <m/>
    <x v="4"/>
    <n v="4"/>
    <x v="3"/>
    <n v="720018"/>
  </r>
  <r>
    <s v="CAND100455"/>
    <s v="Pooja"/>
    <s v="Patel"/>
    <x v="0"/>
    <n v="29"/>
    <x v="4"/>
    <x v="2"/>
    <x v="2"/>
    <x v="286"/>
    <d v="2022-11-16T00:00:00"/>
    <m/>
    <x v="1"/>
    <n v="6"/>
    <x v="3"/>
    <n v="1122504"/>
  </r>
  <r>
    <s v="CAND100456"/>
    <s v="Sneha"/>
    <s v="Sharma"/>
    <x v="1"/>
    <n v="37"/>
    <x v="4"/>
    <x v="4"/>
    <x v="1"/>
    <x v="375"/>
    <d v="2024-03-16T00:00:00"/>
    <d v="2024-03-21T00:00:00"/>
    <x v="1"/>
    <n v="2"/>
    <x v="2"/>
    <n v="431936"/>
  </r>
  <r>
    <s v="CAND100457"/>
    <s v="Priya"/>
    <s v="Kapoor"/>
    <x v="1"/>
    <n v="42"/>
    <x v="4"/>
    <x v="4"/>
    <x v="3"/>
    <x v="84"/>
    <d v="2023-03-29T00:00:00"/>
    <m/>
    <x v="0"/>
    <n v="8"/>
    <x v="2"/>
    <n v="1054174"/>
  </r>
  <r>
    <s v="CAND100458"/>
    <s v="Rohit"/>
    <s v="Gupta"/>
    <x v="1"/>
    <n v="21"/>
    <x v="4"/>
    <x v="3"/>
    <x v="0"/>
    <x v="376"/>
    <d v="2022-07-03T00:00:00"/>
    <d v="2022-07-06T00:00:00"/>
    <x v="3"/>
    <n v="9"/>
    <x v="2"/>
    <n v="878937"/>
  </r>
  <r>
    <s v="CAND100459"/>
    <s v="Pooja"/>
    <s v="Kapoor"/>
    <x v="1"/>
    <n v="44"/>
    <x v="5"/>
    <x v="2"/>
    <x v="4"/>
    <x v="377"/>
    <d v="2021-06-10T00:00:00"/>
    <m/>
    <x v="4"/>
    <n v="3"/>
    <x v="0"/>
    <n v="584477"/>
  </r>
  <r>
    <s v="CAND100460"/>
    <s v="Ankit"/>
    <s v="Reddy"/>
    <x v="0"/>
    <n v="21"/>
    <x v="2"/>
    <x v="2"/>
    <x v="3"/>
    <x v="362"/>
    <d v="2023-12-22T00:00:00"/>
    <d v="2023-12-27T00:00:00"/>
    <x v="2"/>
    <n v="10"/>
    <x v="1"/>
    <n v="627138"/>
  </r>
  <r>
    <s v="CAND100461"/>
    <s v="Amit"/>
    <s v="Joshi"/>
    <x v="1"/>
    <n v="44"/>
    <x v="1"/>
    <x v="1"/>
    <x v="2"/>
    <x v="378"/>
    <d v="2022-04-15T00:00:00"/>
    <m/>
    <x v="4"/>
    <n v="2"/>
    <x v="2"/>
    <n v="385182"/>
  </r>
  <r>
    <s v="CAND100462"/>
    <s v="Priya"/>
    <s v="Patel"/>
    <x v="0"/>
    <n v="21"/>
    <x v="2"/>
    <x v="0"/>
    <x v="2"/>
    <x v="379"/>
    <d v="2021-02-09T00:00:00"/>
    <m/>
    <x v="3"/>
    <n v="6"/>
    <x v="1"/>
    <n v="612992"/>
  </r>
  <r>
    <s v="CAND100463"/>
    <s v="Pooja"/>
    <s v="Joshi"/>
    <x v="0"/>
    <n v="41"/>
    <x v="3"/>
    <x v="3"/>
    <x v="2"/>
    <x v="374"/>
    <d v="2022-08-17T00:00:00"/>
    <d v="2022-08-24T00:00:00"/>
    <x v="4"/>
    <n v="3"/>
    <x v="1"/>
    <n v="1196832"/>
  </r>
  <r>
    <s v="CAND100464"/>
    <s v="Neha"/>
    <s v="Sharma"/>
    <x v="1"/>
    <n v="34"/>
    <x v="3"/>
    <x v="2"/>
    <x v="2"/>
    <x v="380"/>
    <d v="2021-05-22T00:00:00"/>
    <d v="2021-05-26T00:00:00"/>
    <x v="2"/>
    <n v="7"/>
    <x v="0"/>
    <n v="1094516"/>
  </r>
  <r>
    <s v="CAND100465"/>
    <s v="Ankit"/>
    <s v="Reddy"/>
    <x v="1"/>
    <n v="43"/>
    <x v="2"/>
    <x v="4"/>
    <x v="4"/>
    <x v="147"/>
    <d v="2022-11-17T00:00:00"/>
    <m/>
    <x v="0"/>
    <n v="9"/>
    <x v="1"/>
    <n v="325878"/>
  </r>
  <r>
    <s v="CAND100466"/>
    <s v="Pooja"/>
    <s v="Singh"/>
    <x v="0"/>
    <n v="21"/>
    <x v="0"/>
    <x v="2"/>
    <x v="2"/>
    <x v="381"/>
    <d v="2021-05-12T00:00:00"/>
    <m/>
    <x v="0"/>
    <n v="2"/>
    <x v="0"/>
    <n v="315524"/>
  </r>
  <r>
    <s v="CAND100467"/>
    <s v="Sneha"/>
    <s v="Singh"/>
    <x v="0"/>
    <n v="41"/>
    <x v="1"/>
    <x v="0"/>
    <x v="1"/>
    <x v="382"/>
    <d v="2021-12-02T00:00:00"/>
    <m/>
    <x v="2"/>
    <n v="2"/>
    <x v="0"/>
    <n v="361870"/>
  </r>
  <r>
    <s v="CAND100468"/>
    <s v="Ankit"/>
    <s v="Mehta"/>
    <x v="0"/>
    <n v="35"/>
    <x v="3"/>
    <x v="1"/>
    <x v="1"/>
    <x v="383"/>
    <d v="2021-08-18T00:00:00"/>
    <d v="2021-08-22T00:00:00"/>
    <x v="3"/>
    <n v="2"/>
    <x v="2"/>
    <n v="652275"/>
  </r>
  <r>
    <s v="CAND100469"/>
    <s v="Sneha"/>
    <s v="Gupta"/>
    <x v="1"/>
    <n v="43"/>
    <x v="2"/>
    <x v="1"/>
    <x v="2"/>
    <x v="384"/>
    <d v="2022-04-02T00:00:00"/>
    <d v="2022-04-07T00:00:00"/>
    <x v="4"/>
    <n v="7"/>
    <x v="0"/>
    <n v="1031747"/>
  </r>
  <r>
    <s v="CAND100470"/>
    <s v="Priya"/>
    <s v="Reddy"/>
    <x v="1"/>
    <n v="29"/>
    <x v="1"/>
    <x v="0"/>
    <x v="2"/>
    <x v="88"/>
    <d v="2021-01-24T00:00:00"/>
    <d v="2021-01-29T00:00:00"/>
    <x v="2"/>
    <n v="4"/>
    <x v="3"/>
    <n v="1108385"/>
  </r>
  <r>
    <s v="CAND100471"/>
    <s v="Pooja"/>
    <s v="Joshi"/>
    <x v="0"/>
    <n v="32"/>
    <x v="3"/>
    <x v="4"/>
    <x v="2"/>
    <x v="385"/>
    <d v="2022-08-08T00:00:00"/>
    <d v="2022-08-11T00:00:00"/>
    <x v="0"/>
    <n v="5"/>
    <x v="1"/>
    <n v="324117"/>
  </r>
  <r>
    <s v="CAND100472"/>
    <s v="Amit"/>
    <s v="Mehta"/>
    <x v="1"/>
    <n v="28"/>
    <x v="4"/>
    <x v="4"/>
    <x v="4"/>
    <x v="386"/>
    <d v="2021-11-28T00:00:00"/>
    <m/>
    <x v="0"/>
    <n v="2"/>
    <x v="3"/>
    <n v="899531"/>
  </r>
  <r>
    <s v="CAND100473"/>
    <s v="Sneha"/>
    <s v="Gupta"/>
    <x v="1"/>
    <n v="34"/>
    <x v="3"/>
    <x v="2"/>
    <x v="0"/>
    <x v="387"/>
    <d v="2024-01-10T00:00:00"/>
    <m/>
    <x v="2"/>
    <n v="10"/>
    <x v="1"/>
    <n v="606114"/>
  </r>
  <r>
    <s v="CAND100474"/>
    <s v="Vikas"/>
    <s v="Reddy"/>
    <x v="0"/>
    <n v="32"/>
    <x v="1"/>
    <x v="2"/>
    <x v="2"/>
    <x v="178"/>
    <d v="2022-10-10T00:00:00"/>
    <m/>
    <x v="2"/>
    <n v="4"/>
    <x v="1"/>
    <n v="904724"/>
  </r>
  <r>
    <s v="CAND100475"/>
    <s v="Rohit"/>
    <s v="Patel"/>
    <x v="0"/>
    <n v="41"/>
    <x v="0"/>
    <x v="4"/>
    <x v="1"/>
    <x v="388"/>
    <d v="2021-01-20T00:00:00"/>
    <d v="2021-01-23T00:00:00"/>
    <x v="0"/>
    <n v="4"/>
    <x v="0"/>
    <n v="901035"/>
  </r>
  <r>
    <s v="CAND100476"/>
    <s v="Rohit"/>
    <s v="Patel"/>
    <x v="0"/>
    <n v="36"/>
    <x v="1"/>
    <x v="0"/>
    <x v="4"/>
    <x v="389"/>
    <d v="2021-04-21T00:00:00"/>
    <d v="2021-04-24T00:00:00"/>
    <x v="0"/>
    <n v="8"/>
    <x v="3"/>
    <n v="1002607"/>
  </r>
  <r>
    <s v="CAND100477"/>
    <s v="Sneha"/>
    <s v="Kapoor"/>
    <x v="0"/>
    <n v="40"/>
    <x v="5"/>
    <x v="2"/>
    <x v="0"/>
    <x v="390"/>
    <d v="2022-07-04T00:00:00"/>
    <d v="2022-07-09T00:00:00"/>
    <x v="3"/>
    <n v="8"/>
    <x v="2"/>
    <n v="365886"/>
  </r>
  <r>
    <s v="CAND100478"/>
    <s v="Karan"/>
    <s v="Joshi"/>
    <x v="1"/>
    <n v="41"/>
    <x v="5"/>
    <x v="3"/>
    <x v="4"/>
    <x v="391"/>
    <d v="2023-02-28T00:00:00"/>
    <d v="2023-03-03T00:00:00"/>
    <x v="1"/>
    <n v="2"/>
    <x v="0"/>
    <n v="929484"/>
  </r>
  <r>
    <s v="CAND100479"/>
    <s v="Rohit"/>
    <s v="Patel"/>
    <x v="0"/>
    <n v="30"/>
    <x v="2"/>
    <x v="2"/>
    <x v="2"/>
    <x v="392"/>
    <d v="2022-07-26T00:00:00"/>
    <m/>
    <x v="2"/>
    <n v="4"/>
    <x v="2"/>
    <n v="1093970"/>
  </r>
  <r>
    <s v="CAND100480"/>
    <s v="Priya"/>
    <s v="Patel"/>
    <x v="0"/>
    <n v="38"/>
    <x v="4"/>
    <x v="2"/>
    <x v="1"/>
    <x v="393"/>
    <d v="2023-10-20T00:00:00"/>
    <d v="2023-10-26T00:00:00"/>
    <x v="3"/>
    <n v="5"/>
    <x v="3"/>
    <n v="560678"/>
  </r>
  <r>
    <s v="CAND100481"/>
    <s v="Vikas"/>
    <s v="Kapoor"/>
    <x v="1"/>
    <n v="45"/>
    <x v="2"/>
    <x v="4"/>
    <x v="4"/>
    <x v="394"/>
    <d v="2022-01-05T00:00:00"/>
    <d v="2022-01-09T00:00:00"/>
    <x v="4"/>
    <n v="6"/>
    <x v="0"/>
    <n v="408091"/>
  </r>
  <r>
    <s v="CAND100482"/>
    <s v="Pooja"/>
    <s v="Gupta"/>
    <x v="1"/>
    <n v="45"/>
    <x v="3"/>
    <x v="1"/>
    <x v="3"/>
    <x v="395"/>
    <d v="2022-05-14T00:00:00"/>
    <m/>
    <x v="1"/>
    <n v="7"/>
    <x v="1"/>
    <n v="520499"/>
  </r>
  <r>
    <s v="CAND100483"/>
    <s v="Rohit"/>
    <s v="Patel"/>
    <x v="0"/>
    <n v="44"/>
    <x v="2"/>
    <x v="2"/>
    <x v="0"/>
    <x v="53"/>
    <d v="2021-08-13T00:00:00"/>
    <d v="2021-08-18T00:00:00"/>
    <x v="0"/>
    <n v="5"/>
    <x v="0"/>
    <n v="301350"/>
  </r>
  <r>
    <s v="CAND100484"/>
    <s v="Pooja"/>
    <s v="Gupta"/>
    <x v="1"/>
    <n v="34"/>
    <x v="3"/>
    <x v="0"/>
    <x v="0"/>
    <x v="396"/>
    <d v="2022-08-23T00:00:00"/>
    <d v="2022-08-27T00:00:00"/>
    <x v="3"/>
    <n v="3"/>
    <x v="1"/>
    <n v="1193056"/>
  </r>
  <r>
    <s v="CAND100485"/>
    <s v="Rohit"/>
    <s v="Kapoor"/>
    <x v="1"/>
    <n v="38"/>
    <x v="1"/>
    <x v="3"/>
    <x v="2"/>
    <x v="397"/>
    <d v="2023-11-12T00:00:00"/>
    <d v="2023-11-19T00:00:00"/>
    <x v="1"/>
    <n v="8"/>
    <x v="1"/>
    <n v="1033465"/>
  </r>
  <r>
    <s v="CAND100486"/>
    <s v="Pooja"/>
    <s v="Singh"/>
    <x v="0"/>
    <n v="24"/>
    <x v="1"/>
    <x v="3"/>
    <x v="2"/>
    <x v="112"/>
    <d v="2023-04-07T00:00:00"/>
    <m/>
    <x v="4"/>
    <n v="10"/>
    <x v="1"/>
    <n v="1014246"/>
  </r>
  <r>
    <s v="CAND100487"/>
    <s v="Karan"/>
    <s v="Gupta"/>
    <x v="1"/>
    <n v="43"/>
    <x v="3"/>
    <x v="2"/>
    <x v="3"/>
    <x v="86"/>
    <d v="2021-04-30T00:00:00"/>
    <d v="2021-05-06T00:00:00"/>
    <x v="1"/>
    <n v="7"/>
    <x v="1"/>
    <n v="354436"/>
  </r>
  <r>
    <s v="CAND100488"/>
    <s v="Pooja"/>
    <s v="Patel"/>
    <x v="0"/>
    <n v="28"/>
    <x v="0"/>
    <x v="2"/>
    <x v="0"/>
    <x v="398"/>
    <d v="2022-01-07T00:00:00"/>
    <m/>
    <x v="3"/>
    <n v="4"/>
    <x v="0"/>
    <n v="387964"/>
  </r>
  <r>
    <s v="CAND100489"/>
    <s v="Rohit"/>
    <s v="Joshi"/>
    <x v="0"/>
    <n v="25"/>
    <x v="3"/>
    <x v="3"/>
    <x v="4"/>
    <x v="399"/>
    <d v="2023-06-04T00:00:00"/>
    <m/>
    <x v="4"/>
    <n v="10"/>
    <x v="3"/>
    <n v="1063975"/>
  </r>
  <r>
    <s v="CAND100490"/>
    <s v="Vikas"/>
    <s v="Reddy"/>
    <x v="1"/>
    <n v="34"/>
    <x v="5"/>
    <x v="2"/>
    <x v="2"/>
    <x v="400"/>
    <d v="2021-10-21T00:00:00"/>
    <m/>
    <x v="0"/>
    <n v="8"/>
    <x v="1"/>
    <n v="610556"/>
  </r>
  <r>
    <s v="CAND100491"/>
    <s v="Karan"/>
    <s v="Mehta"/>
    <x v="1"/>
    <n v="36"/>
    <x v="1"/>
    <x v="4"/>
    <x v="2"/>
    <x v="401"/>
    <d v="2021-06-12T00:00:00"/>
    <m/>
    <x v="0"/>
    <n v="7"/>
    <x v="3"/>
    <n v="1052282"/>
  </r>
  <r>
    <s v="CAND100492"/>
    <s v="Amit"/>
    <s v="Patel"/>
    <x v="0"/>
    <n v="37"/>
    <x v="0"/>
    <x v="2"/>
    <x v="2"/>
    <x v="402"/>
    <d v="2021-11-17T00:00:00"/>
    <d v="2021-11-19T00:00:00"/>
    <x v="4"/>
    <n v="10"/>
    <x v="1"/>
    <n v="466024"/>
  </r>
  <r>
    <s v="CAND100493"/>
    <s v="Priya"/>
    <s v="Patel"/>
    <x v="0"/>
    <n v="36"/>
    <x v="3"/>
    <x v="3"/>
    <x v="2"/>
    <x v="403"/>
    <d v="2024-04-07T00:00:00"/>
    <d v="2024-04-14T00:00:00"/>
    <x v="0"/>
    <n v="5"/>
    <x v="3"/>
    <n v="625355"/>
  </r>
  <r>
    <s v="CAND100494"/>
    <s v="Vikas"/>
    <s v="Joshi"/>
    <x v="0"/>
    <n v="33"/>
    <x v="1"/>
    <x v="1"/>
    <x v="3"/>
    <x v="404"/>
    <d v="2024-02-09T00:00:00"/>
    <d v="2024-02-14T00:00:00"/>
    <x v="0"/>
    <n v="5"/>
    <x v="2"/>
    <n v="434786"/>
  </r>
  <r>
    <s v="CAND100495"/>
    <s v="Rahul"/>
    <s v="Iyer"/>
    <x v="1"/>
    <n v="23"/>
    <x v="3"/>
    <x v="1"/>
    <x v="0"/>
    <x v="405"/>
    <d v="2022-12-26T00:00:00"/>
    <m/>
    <x v="1"/>
    <n v="5"/>
    <x v="2"/>
    <n v="990894"/>
  </r>
  <r>
    <s v="CAND100496"/>
    <s v="Amit"/>
    <s v="Kapoor"/>
    <x v="0"/>
    <n v="27"/>
    <x v="1"/>
    <x v="0"/>
    <x v="1"/>
    <x v="406"/>
    <d v="2023-09-07T00:00:00"/>
    <m/>
    <x v="1"/>
    <n v="8"/>
    <x v="1"/>
    <n v="503384"/>
  </r>
  <r>
    <s v="CAND100497"/>
    <s v="Vikas"/>
    <s v="Kapoor"/>
    <x v="1"/>
    <n v="33"/>
    <x v="5"/>
    <x v="1"/>
    <x v="0"/>
    <x v="227"/>
    <d v="2021-10-24T00:00:00"/>
    <d v="2021-10-29T00:00:00"/>
    <x v="0"/>
    <n v="8"/>
    <x v="2"/>
    <n v="735916"/>
  </r>
  <r>
    <s v="CAND100498"/>
    <s v="Ankit"/>
    <s v="Patel"/>
    <x v="0"/>
    <n v="25"/>
    <x v="4"/>
    <x v="2"/>
    <x v="2"/>
    <x v="12"/>
    <d v="2021-02-21T00:00:00"/>
    <d v="2021-02-26T00:00:00"/>
    <x v="1"/>
    <n v="7"/>
    <x v="0"/>
    <n v="725471"/>
  </r>
  <r>
    <s v="CAND100499"/>
    <s v="Vikas"/>
    <s v="Singh"/>
    <x v="0"/>
    <n v="27"/>
    <x v="1"/>
    <x v="4"/>
    <x v="3"/>
    <x v="407"/>
    <d v="2023-11-19T00:00:00"/>
    <m/>
    <x v="3"/>
    <n v="3"/>
    <x v="3"/>
    <n v="756099"/>
  </r>
  <r>
    <s v="CAND100500"/>
    <s v="Karan"/>
    <s v="Verma"/>
    <x v="0"/>
    <n v="26"/>
    <x v="1"/>
    <x v="2"/>
    <x v="0"/>
    <x v="408"/>
    <d v="2022-05-29T00:00:00"/>
    <d v="2022-06-03T00:00:00"/>
    <x v="0"/>
    <n v="10"/>
    <x v="2"/>
    <n v="799317"/>
  </r>
  <r>
    <s v="CAND100501"/>
    <s v="Rohit"/>
    <s v="Gupta"/>
    <x v="1"/>
    <n v="36"/>
    <x v="3"/>
    <x v="3"/>
    <x v="2"/>
    <x v="409"/>
    <d v="2023-07-06T00:00:00"/>
    <d v="2023-07-13T00:00:00"/>
    <x v="4"/>
    <n v="10"/>
    <x v="0"/>
    <n v="1141757"/>
  </r>
  <r>
    <s v="CAND100502"/>
    <s v="Rohit"/>
    <s v="Reddy"/>
    <x v="1"/>
    <n v="23"/>
    <x v="1"/>
    <x v="2"/>
    <x v="3"/>
    <x v="410"/>
    <d v="2023-07-05T00:00:00"/>
    <d v="2023-07-08T00:00:00"/>
    <x v="0"/>
    <n v="7"/>
    <x v="0"/>
    <n v="648313"/>
  </r>
  <r>
    <s v="CAND100503"/>
    <s v="Sneha"/>
    <s v="Iyer"/>
    <x v="1"/>
    <n v="36"/>
    <x v="1"/>
    <x v="1"/>
    <x v="2"/>
    <x v="178"/>
    <d v="2022-10-12T00:00:00"/>
    <d v="2022-10-15T00:00:00"/>
    <x v="1"/>
    <n v="8"/>
    <x v="0"/>
    <n v="392022"/>
  </r>
  <r>
    <s v="CAND100504"/>
    <s v="Karan"/>
    <s v="Gupta"/>
    <x v="1"/>
    <n v="28"/>
    <x v="3"/>
    <x v="3"/>
    <x v="4"/>
    <x v="411"/>
    <d v="2022-06-25T00:00:00"/>
    <m/>
    <x v="2"/>
    <n v="3"/>
    <x v="2"/>
    <n v="1198322"/>
  </r>
  <r>
    <s v="CAND100505"/>
    <s v="Rahul"/>
    <s v="Gupta"/>
    <x v="1"/>
    <n v="44"/>
    <x v="3"/>
    <x v="4"/>
    <x v="4"/>
    <x v="412"/>
    <d v="2022-01-21T00:00:00"/>
    <m/>
    <x v="2"/>
    <n v="3"/>
    <x v="0"/>
    <n v="411252"/>
  </r>
  <r>
    <s v="CAND100506"/>
    <s v="Ankit"/>
    <s v="Kapoor"/>
    <x v="1"/>
    <n v="38"/>
    <x v="1"/>
    <x v="1"/>
    <x v="0"/>
    <x v="413"/>
    <d v="2023-03-20T00:00:00"/>
    <m/>
    <x v="0"/>
    <n v="6"/>
    <x v="0"/>
    <n v="967271"/>
  </r>
  <r>
    <s v="CAND100507"/>
    <s v="Amit"/>
    <s v="Singh"/>
    <x v="0"/>
    <n v="29"/>
    <x v="0"/>
    <x v="2"/>
    <x v="3"/>
    <x v="14"/>
    <d v="2022-02-02T00:00:00"/>
    <m/>
    <x v="0"/>
    <n v="2"/>
    <x v="0"/>
    <n v="766161"/>
  </r>
  <r>
    <s v="CAND100508"/>
    <s v="Pooja"/>
    <s v="Joshi"/>
    <x v="1"/>
    <n v="39"/>
    <x v="0"/>
    <x v="3"/>
    <x v="3"/>
    <x v="224"/>
    <d v="2023-12-07T00:00:00"/>
    <m/>
    <x v="2"/>
    <n v="2"/>
    <x v="3"/>
    <n v="1023759"/>
  </r>
  <r>
    <s v="CAND100509"/>
    <s v="Amit"/>
    <s v="Sharma"/>
    <x v="1"/>
    <n v="41"/>
    <x v="0"/>
    <x v="2"/>
    <x v="2"/>
    <x v="75"/>
    <d v="2023-10-31T00:00:00"/>
    <d v="2023-11-04T00:00:00"/>
    <x v="2"/>
    <n v="9"/>
    <x v="2"/>
    <n v="634914"/>
  </r>
  <r>
    <s v="CAND100510"/>
    <s v="Amit"/>
    <s v="Reddy"/>
    <x v="1"/>
    <n v="41"/>
    <x v="0"/>
    <x v="1"/>
    <x v="3"/>
    <x v="414"/>
    <d v="2023-12-16T00:00:00"/>
    <m/>
    <x v="3"/>
    <n v="9"/>
    <x v="1"/>
    <n v="1053006"/>
  </r>
  <r>
    <s v="CAND100511"/>
    <s v="Amit"/>
    <s v="Gupta"/>
    <x v="1"/>
    <n v="42"/>
    <x v="5"/>
    <x v="3"/>
    <x v="2"/>
    <x v="185"/>
    <d v="2021-06-01T00:00:00"/>
    <d v="2021-06-04T00:00:00"/>
    <x v="0"/>
    <n v="5"/>
    <x v="1"/>
    <n v="460913"/>
  </r>
  <r>
    <s v="CAND100512"/>
    <s v="Pooja"/>
    <s v="Mehta"/>
    <x v="0"/>
    <n v="25"/>
    <x v="1"/>
    <x v="2"/>
    <x v="4"/>
    <x v="415"/>
    <d v="2021-11-25T00:00:00"/>
    <m/>
    <x v="0"/>
    <n v="3"/>
    <x v="2"/>
    <n v="357671"/>
  </r>
  <r>
    <s v="CAND100513"/>
    <s v="Priya"/>
    <s v="Mehta"/>
    <x v="1"/>
    <n v="27"/>
    <x v="0"/>
    <x v="4"/>
    <x v="2"/>
    <x v="416"/>
    <d v="2021-08-03T00:00:00"/>
    <m/>
    <x v="3"/>
    <n v="7"/>
    <x v="1"/>
    <n v="885488"/>
  </r>
  <r>
    <s v="CAND100514"/>
    <s v="Rahul"/>
    <s v="Gupta"/>
    <x v="1"/>
    <n v="45"/>
    <x v="0"/>
    <x v="4"/>
    <x v="1"/>
    <x v="417"/>
    <d v="2022-08-01T00:00:00"/>
    <d v="2022-08-04T00:00:00"/>
    <x v="0"/>
    <n v="4"/>
    <x v="2"/>
    <n v="596728"/>
  </r>
  <r>
    <s v="CAND100515"/>
    <s v="Karan"/>
    <s v="Patel"/>
    <x v="1"/>
    <n v="37"/>
    <x v="5"/>
    <x v="4"/>
    <x v="4"/>
    <x v="418"/>
    <d v="2023-03-10T00:00:00"/>
    <m/>
    <x v="0"/>
    <n v="2"/>
    <x v="2"/>
    <n v="584183"/>
  </r>
  <r>
    <s v="CAND100516"/>
    <s v="Rohit"/>
    <s v="Verma"/>
    <x v="0"/>
    <n v="44"/>
    <x v="4"/>
    <x v="0"/>
    <x v="0"/>
    <x v="410"/>
    <d v="2023-07-07T00:00:00"/>
    <m/>
    <x v="2"/>
    <n v="7"/>
    <x v="0"/>
    <n v="1101162"/>
  </r>
  <r>
    <s v="CAND100517"/>
    <s v="Ankit"/>
    <s v="Gupta"/>
    <x v="0"/>
    <n v="24"/>
    <x v="4"/>
    <x v="2"/>
    <x v="2"/>
    <x v="419"/>
    <d v="2022-06-06T00:00:00"/>
    <d v="2022-06-11T00:00:00"/>
    <x v="3"/>
    <n v="6"/>
    <x v="0"/>
    <n v="1165174"/>
  </r>
  <r>
    <s v="CAND100518"/>
    <s v="Karan"/>
    <s v="Reddy"/>
    <x v="1"/>
    <n v="34"/>
    <x v="5"/>
    <x v="3"/>
    <x v="2"/>
    <x v="420"/>
    <d v="2024-04-11T00:00:00"/>
    <d v="2024-04-14T00:00:00"/>
    <x v="4"/>
    <n v="8"/>
    <x v="2"/>
    <n v="1139478"/>
  </r>
  <r>
    <s v="CAND100519"/>
    <s v="Karan"/>
    <s v="Gupta"/>
    <x v="0"/>
    <n v="30"/>
    <x v="4"/>
    <x v="0"/>
    <x v="0"/>
    <x v="421"/>
    <d v="2022-11-28T00:00:00"/>
    <m/>
    <x v="0"/>
    <n v="9"/>
    <x v="1"/>
    <n v="582495"/>
  </r>
  <r>
    <s v="CAND100520"/>
    <s v="Priya"/>
    <s v="Verma"/>
    <x v="1"/>
    <n v="21"/>
    <x v="4"/>
    <x v="1"/>
    <x v="3"/>
    <x v="118"/>
    <d v="2024-01-09T00:00:00"/>
    <m/>
    <x v="0"/>
    <n v="10"/>
    <x v="2"/>
    <n v="432079"/>
  </r>
  <r>
    <s v="CAND100521"/>
    <s v="Rohit"/>
    <s v="Reddy"/>
    <x v="1"/>
    <n v="38"/>
    <x v="0"/>
    <x v="2"/>
    <x v="3"/>
    <x v="41"/>
    <d v="2021-03-26T00:00:00"/>
    <d v="2021-03-28T00:00:00"/>
    <x v="4"/>
    <n v="3"/>
    <x v="3"/>
    <n v="555415"/>
  </r>
  <r>
    <s v="CAND100522"/>
    <s v="Vikas"/>
    <s v="Reddy"/>
    <x v="0"/>
    <n v="23"/>
    <x v="4"/>
    <x v="1"/>
    <x v="2"/>
    <x v="422"/>
    <d v="2023-12-03T00:00:00"/>
    <m/>
    <x v="1"/>
    <n v="4"/>
    <x v="3"/>
    <n v="550062"/>
  </r>
  <r>
    <s v="CAND100523"/>
    <s v="Neha"/>
    <s v="Verma"/>
    <x v="0"/>
    <n v="32"/>
    <x v="5"/>
    <x v="3"/>
    <x v="3"/>
    <x v="423"/>
    <d v="2022-12-26T00:00:00"/>
    <d v="2023-01-01T00:00:00"/>
    <x v="3"/>
    <n v="5"/>
    <x v="3"/>
    <n v="741227"/>
  </r>
  <r>
    <s v="CAND100524"/>
    <s v="Sneha"/>
    <s v="Reddy"/>
    <x v="0"/>
    <n v="43"/>
    <x v="2"/>
    <x v="2"/>
    <x v="0"/>
    <x v="63"/>
    <d v="2021-09-13T00:00:00"/>
    <m/>
    <x v="3"/>
    <n v="6"/>
    <x v="1"/>
    <n v="351979"/>
  </r>
  <r>
    <s v="CAND100525"/>
    <s v="Amit"/>
    <s v="Iyer"/>
    <x v="1"/>
    <n v="23"/>
    <x v="4"/>
    <x v="3"/>
    <x v="2"/>
    <x v="424"/>
    <d v="2022-03-27T00:00:00"/>
    <m/>
    <x v="0"/>
    <n v="4"/>
    <x v="2"/>
    <n v="628562"/>
  </r>
  <r>
    <s v="CAND100526"/>
    <s v="Vikas"/>
    <s v="Mehta"/>
    <x v="1"/>
    <n v="43"/>
    <x v="3"/>
    <x v="1"/>
    <x v="0"/>
    <x v="425"/>
    <d v="2021-12-30T00:00:00"/>
    <d v="2022-01-02T00:00:00"/>
    <x v="3"/>
    <n v="6"/>
    <x v="3"/>
    <n v="394510"/>
  </r>
  <r>
    <s v="CAND100527"/>
    <s v="Vikas"/>
    <s v="Joshi"/>
    <x v="0"/>
    <n v="24"/>
    <x v="3"/>
    <x v="3"/>
    <x v="1"/>
    <x v="426"/>
    <d v="2022-05-25T00:00:00"/>
    <d v="2022-06-01T00:00:00"/>
    <x v="3"/>
    <n v="3"/>
    <x v="2"/>
    <n v="654755"/>
  </r>
  <r>
    <s v="CAND100528"/>
    <s v="Karan"/>
    <s v="Sharma"/>
    <x v="0"/>
    <n v="30"/>
    <x v="2"/>
    <x v="4"/>
    <x v="1"/>
    <x v="427"/>
    <d v="2022-02-22T00:00:00"/>
    <m/>
    <x v="2"/>
    <n v="6"/>
    <x v="1"/>
    <n v="1043256"/>
  </r>
  <r>
    <s v="CAND100529"/>
    <s v="Ankit"/>
    <s v="Kapoor"/>
    <x v="1"/>
    <n v="27"/>
    <x v="3"/>
    <x v="1"/>
    <x v="2"/>
    <x v="428"/>
    <d v="2023-09-10T00:00:00"/>
    <d v="2023-09-17T00:00:00"/>
    <x v="0"/>
    <n v="10"/>
    <x v="3"/>
    <n v="486295"/>
  </r>
  <r>
    <s v="CAND100530"/>
    <s v="Pooja"/>
    <s v="Mehta"/>
    <x v="1"/>
    <n v="24"/>
    <x v="4"/>
    <x v="1"/>
    <x v="3"/>
    <x v="429"/>
    <d v="2024-01-16T00:00:00"/>
    <d v="2024-01-23T00:00:00"/>
    <x v="2"/>
    <n v="4"/>
    <x v="3"/>
    <n v="633759"/>
  </r>
  <r>
    <s v="CAND100531"/>
    <s v="Pooja"/>
    <s v="Gupta"/>
    <x v="1"/>
    <n v="40"/>
    <x v="3"/>
    <x v="4"/>
    <x v="4"/>
    <x v="430"/>
    <d v="2024-02-01T00:00:00"/>
    <d v="2024-02-07T00:00:00"/>
    <x v="3"/>
    <n v="7"/>
    <x v="0"/>
    <n v="476281"/>
  </r>
  <r>
    <s v="CAND100532"/>
    <s v="Rohit"/>
    <s v="Kapoor"/>
    <x v="1"/>
    <n v="34"/>
    <x v="2"/>
    <x v="1"/>
    <x v="3"/>
    <x v="60"/>
    <d v="2022-04-20T00:00:00"/>
    <m/>
    <x v="1"/>
    <n v="3"/>
    <x v="2"/>
    <n v="327082"/>
  </r>
  <r>
    <s v="CAND100533"/>
    <s v="Sneha"/>
    <s v="Joshi"/>
    <x v="1"/>
    <n v="28"/>
    <x v="5"/>
    <x v="3"/>
    <x v="3"/>
    <x v="45"/>
    <d v="2022-12-01T00:00:00"/>
    <d v="2022-12-08T00:00:00"/>
    <x v="1"/>
    <n v="7"/>
    <x v="3"/>
    <n v="307338"/>
  </r>
  <r>
    <s v="CAND100534"/>
    <s v="Ankit"/>
    <s v="Joshi"/>
    <x v="0"/>
    <n v="41"/>
    <x v="3"/>
    <x v="1"/>
    <x v="1"/>
    <x v="431"/>
    <d v="2022-03-25T00:00:00"/>
    <d v="2022-03-31T00:00:00"/>
    <x v="4"/>
    <n v="2"/>
    <x v="0"/>
    <n v="917078"/>
  </r>
  <r>
    <s v="CAND100535"/>
    <s v="Neha"/>
    <s v="Verma"/>
    <x v="1"/>
    <n v="23"/>
    <x v="1"/>
    <x v="2"/>
    <x v="4"/>
    <x v="432"/>
    <d v="2023-09-28T00:00:00"/>
    <m/>
    <x v="3"/>
    <n v="4"/>
    <x v="2"/>
    <n v="547066"/>
  </r>
  <r>
    <s v="CAND100536"/>
    <s v="Priya"/>
    <s v="Mehta"/>
    <x v="1"/>
    <n v="27"/>
    <x v="0"/>
    <x v="2"/>
    <x v="1"/>
    <x v="433"/>
    <d v="2021-12-23T00:00:00"/>
    <d v="2021-12-25T00:00:00"/>
    <x v="1"/>
    <n v="10"/>
    <x v="3"/>
    <n v="882091"/>
  </r>
  <r>
    <s v="CAND100537"/>
    <s v="Priya"/>
    <s v="Verma"/>
    <x v="1"/>
    <n v="30"/>
    <x v="3"/>
    <x v="2"/>
    <x v="2"/>
    <x v="434"/>
    <d v="2021-08-14T00:00:00"/>
    <m/>
    <x v="2"/>
    <n v="4"/>
    <x v="0"/>
    <n v="644038"/>
  </r>
  <r>
    <s v="CAND100538"/>
    <s v="Ankit"/>
    <s v="Verma"/>
    <x v="0"/>
    <n v="40"/>
    <x v="4"/>
    <x v="0"/>
    <x v="3"/>
    <x v="319"/>
    <d v="2022-05-10T00:00:00"/>
    <m/>
    <x v="3"/>
    <n v="4"/>
    <x v="3"/>
    <n v="1162222"/>
  </r>
  <r>
    <s v="CAND100539"/>
    <s v="Rahul"/>
    <s v="Iyer"/>
    <x v="1"/>
    <n v="36"/>
    <x v="5"/>
    <x v="0"/>
    <x v="2"/>
    <x v="435"/>
    <d v="2022-01-08T00:00:00"/>
    <m/>
    <x v="4"/>
    <n v="2"/>
    <x v="2"/>
    <n v="1184262"/>
  </r>
  <r>
    <s v="CAND100540"/>
    <s v="Vikas"/>
    <s v="Singh"/>
    <x v="1"/>
    <n v="42"/>
    <x v="5"/>
    <x v="2"/>
    <x v="1"/>
    <x v="229"/>
    <d v="2022-12-23T00:00:00"/>
    <m/>
    <x v="3"/>
    <n v="6"/>
    <x v="2"/>
    <n v="701275"/>
  </r>
  <r>
    <s v="CAND100541"/>
    <s v="Vikas"/>
    <s v="Singh"/>
    <x v="0"/>
    <n v="40"/>
    <x v="5"/>
    <x v="0"/>
    <x v="2"/>
    <x v="436"/>
    <d v="2023-11-27T00:00:00"/>
    <m/>
    <x v="1"/>
    <n v="7"/>
    <x v="3"/>
    <n v="550120"/>
  </r>
  <r>
    <s v="CAND100542"/>
    <s v="Ankit"/>
    <s v="Joshi"/>
    <x v="1"/>
    <n v="41"/>
    <x v="2"/>
    <x v="2"/>
    <x v="3"/>
    <x v="437"/>
    <d v="2023-08-12T00:00:00"/>
    <d v="2023-08-19T00:00:00"/>
    <x v="1"/>
    <n v="10"/>
    <x v="0"/>
    <n v="996002"/>
  </r>
  <r>
    <s v="CAND100543"/>
    <s v="Karan"/>
    <s v="Reddy"/>
    <x v="0"/>
    <n v="40"/>
    <x v="1"/>
    <x v="3"/>
    <x v="2"/>
    <x v="438"/>
    <d v="2024-04-19T00:00:00"/>
    <m/>
    <x v="2"/>
    <n v="5"/>
    <x v="3"/>
    <n v="743073"/>
  </r>
  <r>
    <s v="CAND100544"/>
    <s v="Pooja"/>
    <s v="Verma"/>
    <x v="1"/>
    <n v="22"/>
    <x v="0"/>
    <x v="0"/>
    <x v="3"/>
    <x v="392"/>
    <d v="2022-08-06T00:00:00"/>
    <m/>
    <x v="0"/>
    <n v="10"/>
    <x v="0"/>
    <n v="836479"/>
  </r>
  <r>
    <s v="CAND100545"/>
    <s v="Pooja"/>
    <s v="Verma"/>
    <x v="0"/>
    <n v="36"/>
    <x v="1"/>
    <x v="1"/>
    <x v="0"/>
    <x v="185"/>
    <d v="2021-06-08T00:00:00"/>
    <d v="2021-06-14T00:00:00"/>
    <x v="2"/>
    <n v="4"/>
    <x v="3"/>
    <n v="1064497"/>
  </r>
  <r>
    <s v="CAND100546"/>
    <s v="Sneha"/>
    <s v="Sharma"/>
    <x v="1"/>
    <n v="35"/>
    <x v="4"/>
    <x v="1"/>
    <x v="0"/>
    <x v="439"/>
    <d v="2023-02-20T00:00:00"/>
    <m/>
    <x v="0"/>
    <n v="9"/>
    <x v="1"/>
    <n v="1102324"/>
  </r>
  <r>
    <s v="CAND100547"/>
    <s v="Rohit"/>
    <s v="Kapoor"/>
    <x v="1"/>
    <n v="21"/>
    <x v="2"/>
    <x v="4"/>
    <x v="3"/>
    <x v="122"/>
    <d v="2021-04-21T00:00:00"/>
    <m/>
    <x v="0"/>
    <n v="3"/>
    <x v="1"/>
    <n v="939184"/>
  </r>
  <r>
    <s v="CAND100548"/>
    <s v="Ankit"/>
    <s v="Gupta"/>
    <x v="1"/>
    <n v="40"/>
    <x v="0"/>
    <x v="1"/>
    <x v="3"/>
    <x v="440"/>
    <d v="2021-10-09T00:00:00"/>
    <d v="2021-10-15T00:00:00"/>
    <x v="4"/>
    <n v="4"/>
    <x v="0"/>
    <n v="1019188"/>
  </r>
  <r>
    <s v="CAND100549"/>
    <s v="Sneha"/>
    <s v="Joshi"/>
    <x v="0"/>
    <n v="39"/>
    <x v="5"/>
    <x v="2"/>
    <x v="0"/>
    <x v="441"/>
    <d v="2021-10-17T00:00:00"/>
    <m/>
    <x v="3"/>
    <n v="2"/>
    <x v="0"/>
    <n v="771567"/>
  </r>
  <r>
    <s v="CAND100550"/>
    <s v="Ankit"/>
    <s v="Kapoor"/>
    <x v="1"/>
    <n v="39"/>
    <x v="2"/>
    <x v="1"/>
    <x v="4"/>
    <x v="442"/>
    <d v="2022-09-25T00:00:00"/>
    <m/>
    <x v="3"/>
    <n v="3"/>
    <x v="3"/>
    <n v="441706"/>
  </r>
  <r>
    <s v="CAND100551"/>
    <s v="Priya"/>
    <s v="Gupta"/>
    <x v="1"/>
    <n v="34"/>
    <x v="2"/>
    <x v="2"/>
    <x v="0"/>
    <x v="443"/>
    <d v="2022-07-19T00:00:00"/>
    <d v="2022-07-23T00:00:00"/>
    <x v="4"/>
    <n v="7"/>
    <x v="2"/>
    <n v="365030"/>
  </r>
  <r>
    <s v="CAND100552"/>
    <s v="Karan"/>
    <s v="Kapoor"/>
    <x v="0"/>
    <n v="32"/>
    <x v="3"/>
    <x v="1"/>
    <x v="4"/>
    <x v="444"/>
    <d v="2021-12-03T00:00:00"/>
    <m/>
    <x v="0"/>
    <n v="2"/>
    <x v="1"/>
    <n v="527380"/>
  </r>
  <r>
    <s v="CAND100553"/>
    <s v="Karan"/>
    <s v="Reddy"/>
    <x v="0"/>
    <n v="29"/>
    <x v="3"/>
    <x v="2"/>
    <x v="2"/>
    <x v="445"/>
    <d v="2021-06-12T00:00:00"/>
    <m/>
    <x v="2"/>
    <n v="10"/>
    <x v="0"/>
    <n v="1009604"/>
  </r>
  <r>
    <s v="CAND100554"/>
    <s v="Amit"/>
    <s v="Mehta"/>
    <x v="1"/>
    <n v="21"/>
    <x v="3"/>
    <x v="3"/>
    <x v="3"/>
    <x v="446"/>
    <d v="2022-01-04T00:00:00"/>
    <d v="2022-01-09T00:00:00"/>
    <x v="1"/>
    <n v="9"/>
    <x v="2"/>
    <n v="783927"/>
  </r>
  <r>
    <s v="CAND100555"/>
    <s v="Rahul"/>
    <s v="Patel"/>
    <x v="0"/>
    <n v="25"/>
    <x v="2"/>
    <x v="3"/>
    <x v="2"/>
    <x v="447"/>
    <d v="2021-07-30T00:00:00"/>
    <d v="2021-08-04T00:00:00"/>
    <x v="4"/>
    <n v="6"/>
    <x v="1"/>
    <n v="1173284"/>
  </r>
  <r>
    <s v="CAND100556"/>
    <s v="Amit"/>
    <s v="Reddy"/>
    <x v="0"/>
    <n v="24"/>
    <x v="3"/>
    <x v="4"/>
    <x v="4"/>
    <x v="448"/>
    <d v="2024-01-05T00:00:00"/>
    <m/>
    <x v="4"/>
    <n v="8"/>
    <x v="0"/>
    <n v="648294"/>
  </r>
  <r>
    <s v="CAND100557"/>
    <s v="Pooja"/>
    <s v="Joshi"/>
    <x v="1"/>
    <n v="33"/>
    <x v="1"/>
    <x v="3"/>
    <x v="0"/>
    <x v="242"/>
    <d v="2021-07-16T00:00:00"/>
    <d v="2021-07-20T00:00:00"/>
    <x v="1"/>
    <n v="10"/>
    <x v="3"/>
    <n v="874685"/>
  </r>
  <r>
    <s v="CAND100558"/>
    <s v="Pooja"/>
    <s v="Singh"/>
    <x v="1"/>
    <n v="23"/>
    <x v="4"/>
    <x v="3"/>
    <x v="2"/>
    <x v="449"/>
    <d v="2024-04-19T00:00:00"/>
    <m/>
    <x v="2"/>
    <n v="6"/>
    <x v="0"/>
    <n v="830781"/>
  </r>
  <r>
    <s v="CAND100559"/>
    <s v="Amit"/>
    <s v="Sharma"/>
    <x v="1"/>
    <n v="31"/>
    <x v="1"/>
    <x v="2"/>
    <x v="3"/>
    <x v="450"/>
    <d v="2022-10-17T00:00:00"/>
    <d v="2022-10-23T00:00:00"/>
    <x v="0"/>
    <n v="7"/>
    <x v="3"/>
    <n v="399484"/>
  </r>
  <r>
    <s v="CAND100560"/>
    <s v="Priya"/>
    <s v="Kapoor"/>
    <x v="0"/>
    <n v="34"/>
    <x v="3"/>
    <x v="3"/>
    <x v="0"/>
    <x v="115"/>
    <d v="2022-07-26T00:00:00"/>
    <m/>
    <x v="4"/>
    <n v="6"/>
    <x v="0"/>
    <n v="511807"/>
  </r>
  <r>
    <s v="CAND100561"/>
    <s v="Sneha"/>
    <s v="Iyer"/>
    <x v="0"/>
    <n v="25"/>
    <x v="4"/>
    <x v="2"/>
    <x v="4"/>
    <x v="451"/>
    <d v="2022-09-26T00:00:00"/>
    <d v="2022-10-01T00:00:00"/>
    <x v="0"/>
    <n v="4"/>
    <x v="3"/>
    <n v="552142"/>
  </r>
  <r>
    <s v="CAND100562"/>
    <s v="Amit"/>
    <s v="Gupta"/>
    <x v="1"/>
    <n v="25"/>
    <x v="5"/>
    <x v="2"/>
    <x v="1"/>
    <x v="153"/>
    <d v="2021-01-23T00:00:00"/>
    <m/>
    <x v="4"/>
    <n v="5"/>
    <x v="3"/>
    <n v="1199917"/>
  </r>
  <r>
    <s v="CAND100563"/>
    <s v="Rohit"/>
    <s v="Singh"/>
    <x v="0"/>
    <n v="23"/>
    <x v="1"/>
    <x v="2"/>
    <x v="0"/>
    <x v="290"/>
    <d v="2023-02-22T00:00:00"/>
    <m/>
    <x v="1"/>
    <n v="4"/>
    <x v="2"/>
    <n v="984946"/>
  </r>
  <r>
    <s v="CAND100564"/>
    <s v="Neha"/>
    <s v="Gupta"/>
    <x v="0"/>
    <n v="30"/>
    <x v="5"/>
    <x v="3"/>
    <x v="1"/>
    <x v="452"/>
    <d v="2021-06-18T00:00:00"/>
    <d v="2021-06-20T00:00:00"/>
    <x v="3"/>
    <n v="6"/>
    <x v="3"/>
    <n v="902501"/>
  </r>
  <r>
    <s v="CAND100565"/>
    <s v="Rahul"/>
    <s v="Gupta"/>
    <x v="1"/>
    <n v="34"/>
    <x v="2"/>
    <x v="2"/>
    <x v="4"/>
    <x v="309"/>
    <d v="2024-04-20T00:00:00"/>
    <m/>
    <x v="2"/>
    <n v="6"/>
    <x v="2"/>
    <n v="764502"/>
  </r>
  <r>
    <s v="CAND100566"/>
    <s v="Rohit"/>
    <s v="Mehta"/>
    <x v="0"/>
    <n v="21"/>
    <x v="3"/>
    <x v="0"/>
    <x v="3"/>
    <x v="453"/>
    <d v="2024-04-05T00:00:00"/>
    <m/>
    <x v="3"/>
    <n v="3"/>
    <x v="1"/>
    <n v="489567"/>
  </r>
  <r>
    <s v="CAND100567"/>
    <s v="Rahul"/>
    <s v="Verma"/>
    <x v="1"/>
    <n v="36"/>
    <x v="3"/>
    <x v="2"/>
    <x v="0"/>
    <x v="454"/>
    <d v="2021-09-04T00:00:00"/>
    <m/>
    <x v="1"/>
    <n v="5"/>
    <x v="0"/>
    <n v="1042335"/>
  </r>
  <r>
    <s v="CAND100568"/>
    <s v="Neha"/>
    <s v="Iyer"/>
    <x v="1"/>
    <n v="41"/>
    <x v="5"/>
    <x v="2"/>
    <x v="1"/>
    <x v="204"/>
    <d v="2022-07-02T00:00:00"/>
    <m/>
    <x v="4"/>
    <n v="8"/>
    <x v="2"/>
    <n v="861523"/>
  </r>
  <r>
    <s v="CAND100569"/>
    <s v="Sneha"/>
    <s v="Singh"/>
    <x v="0"/>
    <n v="40"/>
    <x v="1"/>
    <x v="4"/>
    <x v="4"/>
    <x v="455"/>
    <d v="2022-05-31T00:00:00"/>
    <d v="2022-06-07T00:00:00"/>
    <x v="1"/>
    <n v="3"/>
    <x v="0"/>
    <n v="889679"/>
  </r>
  <r>
    <s v="CAND100570"/>
    <s v="Karan"/>
    <s v="Joshi"/>
    <x v="0"/>
    <n v="33"/>
    <x v="4"/>
    <x v="1"/>
    <x v="2"/>
    <x v="456"/>
    <d v="2023-08-29T00:00:00"/>
    <m/>
    <x v="3"/>
    <n v="10"/>
    <x v="2"/>
    <n v="450238"/>
  </r>
  <r>
    <s v="CAND100571"/>
    <s v="Vikas"/>
    <s v="Mehta"/>
    <x v="0"/>
    <n v="37"/>
    <x v="3"/>
    <x v="0"/>
    <x v="4"/>
    <x v="14"/>
    <d v="2022-01-31T00:00:00"/>
    <d v="2022-02-04T00:00:00"/>
    <x v="0"/>
    <n v="10"/>
    <x v="0"/>
    <n v="373614"/>
  </r>
  <r>
    <s v="CAND100572"/>
    <s v="Rahul"/>
    <s v="Verma"/>
    <x v="0"/>
    <n v="41"/>
    <x v="1"/>
    <x v="3"/>
    <x v="4"/>
    <x v="457"/>
    <d v="2023-04-09T00:00:00"/>
    <m/>
    <x v="3"/>
    <n v="7"/>
    <x v="2"/>
    <n v="480710"/>
  </r>
  <r>
    <s v="CAND100573"/>
    <s v="Sneha"/>
    <s v="Patel"/>
    <x v="0"/>
    <n v="35"/>
    <x v="4"/>
    <x v="1"/>
    <x v="2"/>
    <x v="109"/>
    <d v="2024-01-03T00:00:00"/>
    <d v="2024-01-06T00:00:00"/>
    <x v="2"/>
    <n v="7"/>
    <x v="3"/>
    <n v="715187"/>
  </r>
  <r>
    <s v="CAND100574"/>
    <s v="Pooja"/>
    <s v="Iyer"/>
    <x v="1"/>
    <n v="22"/>
    <x v="4"/>
    <x v="1"/>
    <x v="4"/>
    <x v="259"/>
    <d v="2023-06-06T00:00:00"/>
    <d v="2023-06-13T00:00:00"/>
    <x v="3"/>
    <n v="3"/>
    <x v="0"/>
    <n v="516965"/>
  </r>
  <r>
    <s v="CAND100575"/>
    <s v="Sneha"/>
    <s v="Reddy"/>
    <x v="1"/>
    <n v="25"/>
    <x v="4"/>
    <x v="2"/>
    <x v="1"/>
    <x v="256"/>
    <d v="2021-10-31T00:00:00"/>
    <d v="2021-11-07T00:00:00"/>
    <x v="1"/>
    <n v="10"/>
    <x v="2"/>
    <n v="556694"/>
  </r>
  <r>
    <s v="CAND100576"/>
    <s v="Rahul"/>
    <s v="Reddy"/>
    <x v="0"/>
    <n v="28"/>
    <x v="1"/>
    <x v="4"/>
    <x v="4"/>
    <x v="458"/>
    <d v="2022-07-10T00:00:00"/>
    <m/>
    <x v="4"/>
    <n v="5"/>
    <x v="3"/>
    <n v="545310"/>
  </r>
  <r>
    <s v="CAND100577"/>
    <s v="Amit"/>
    <s v="Gupta"/>
    <x v="0"/>
    <n v="28"/>
    <x v="2"/>
    <x v="2"/>
    <x v="4"/>
    <x v="122"/>
    <d v="2021-04-22T00:00:00"/>
    <m/>
    <x v="0"/>
    <n v="5"/>
    <x v="1"/>
    <n v="855136"/>
  </r>
  <r>
    <s v="CAND100578"/>
    <s v="Ankit"/>
    <s v="Reddy"/>
    <x v="0"/>
    <n v="29"/>
    <x v="5"/>
    <x v="2"/>
    <x v="1"/>
    <x v="208"/>
    <d v="2021-05-27T00:00:00"/>
    <d v="2021-05-30T00:00:00"/>
    <x v="3"/>
    <n v="9"/>
    <x v="3"/>
    <n v="757063"/>
  </r>
  <r>
    <s v="CAND100579"/>
    <s v="Neha"/>
    <s v="Gupta"/>
    <x v="0"/>
    <n v="44"/>
    <x v="4"/>
    <x v="1"/>
    <x v="1"/>
    <x v="38"/>
    <d v="2023-01-18T00:00:00"/>
    <m/>
    <x v="4"/>
    <n v="10"/>
    <x v="1"/>
    <n v="334686"/>
  </r>
  <r>
    <s v="CAND100580"/>
    <s v="Vikas"/>
    <s v="Gupta"/>
    <x v="1"/>
    <n v="39"/>
    <x v="2"/>
    <x v="3"/>
    <x v="4"/>
    <x v="459"/>
    <d v="2022-09-20T00:00:00"/>
    <m/>
    <x v="2"/>
    <n v="7"/>
    <x v="2"/>
    <n v="590446"/>
  </r>
  <r>
    <s v="CAND100581"/>
    <s v="Sneha"/>
    <s v="Patel"/>
    <x v="0"/>
    <n v="43"/>
    <x v="1"/>
    <x v="2"/>
    <x v="1"/>
    <x v="286"/>
    <d v="2022-11-16T00:00:00"/>
    <d v="2022-11-23T00:00:00"/>
    <x v="2"/>
    <n v="3"/>
    <x v="1"/>
    <n v="748671"/>
  </r>
  <r>
    <s v="CAND100582"/>
    <s v="Sneha"/>
    <s v="Mehta"/>
    <x v="0"/>
    <n v="34"/>
    <x v="4"/>
    <x v="1"/>
    <x v="1"/>
    <x v="460"/>
    <d v="2022-03-17T00:00:00"/>
    <d v="2022-03-19T00:00:00"/>
    <x v="4"/>
    <n v="4"/>
    <x v="1"/>
    <n v="905294"/>
  </r>
  <r>
    <s v="CAND100583"/>
    <s v="Karan"/>
    <s v="Mehta"/>
    <x v="1"/>
    <n v="42"/>
    <x v="2"/>
    <x v="0"/>
    <x v="3"/>
    <x v="461"/>
    <d v="2023-01-02T00:00:00"/>
    <m/>
    <x v="4"/>
    <n v="9"/>
    <x v="2"/>
    <n v="1030659"/>
  </r>
  <r>
    <s v="CAND100584"/>
    <s v="Sneha"/>
    <s v="Iyer"/>
    <x v="1"/>
    <n v="26"/>
    <x v="3"/>
    <x v="3"/>
    <x v="0"/>
    <x v="462"/>
    <d v="2023-12-07T00:00:00"/>
    <d v="2023-12-14T00:00:00"/>
    <x v="1"/>
    <n v="7"/>
    <x v="2"/>
    <n v="683540"/>
  </r>
  <r>
    <s v="CAND100585"/>
    <s v="Priya"/>
    <s v="Kapoor"/>
    <x v="1"/>
    <n v="27"/>
    <x v="2"/>
    <x v="0"/>
    <x v="0"/>
    <x v="98"/>
    <d v="2021-02-19T00:00:00"/>
    <m/>
    <x v="4"/>
    <n v="5"/>
    <x v="3"/>
    <n v="325113"/>
  </r>
  <r>
    <s v="CAND100586"/>
    <s v="Vikas"/>
    <s v="Reddy"/>
    <x v="1"/>
    <n v="23"/>
    <x v="5"/>
    <x v="0"/>
    <x v="4"/>
    <x v="463"/>
    <d v="2024-04-10T00:00:00"/>
    <d v="2024-04-13T00:00:00"/>
    <x v="2"/>
    <n v="3"/>
    <x v="0"/>
    <n v="352434"/>
  </r>
  <r>
    <s v="CAND100587"/>
    <s v="Rohit"/>
    <s v="Iyer"/>
    <x v="1"/>
    <n v="30"/>
    <x v="4"/>
    <x v="2"/>
    <x v="4"/>
    <x v="464"/>
    <d v="2023-03-08T00:00:00"/>
    <d v="2023-03-15T00:00:00"/>
    <x v="4"/>
    <n v="2"/>
    <x v="3"/>
    <n v="668312"/>
  </r>
  <r>
    <s v="CAND100588"/>
    <s v="Rohit"/>
    <s v="Verma"/>
    <x v="1"/>
    <n v="36"/>
    <x v="1"/>
    <x v="4"/>
    <x v="4"/>
    <x v="20"/>
    <d v="2023-11-27T00:00:00"/>
    <m/>
    <x v="3"/>
    <n v="10"/>
    <x v="1"/>
    <n v="580143"/>
  </r>
  <r>
    <s v="CAND100589"/>
    <s v="Karan"/>
    <s v="Iyer"/>
    <x v="1"/>
    <n v="22"/>
    <x v="1"/>
    <x v="1"/>
    <x v="4"/>
    <x v="465"/>
    <d v="2022-12-26T00:00:00"/>
    <d v="2022-12-30T00:00:00"/>
    <x v="2"/>
    <n v="7"/>
    <x v="0"/>
    <n v="624561"/>
  </r>
  <r>
    <s v="CAND100590"/>
    <s v="Neha"/>
    <s v="Kapoor"/>
    <x v="1"/>
    <n v="42"/>
    <x v="1"/>
    <x v="3"/>
    <x v="2"/>
    <x v="466"/>
    <d v="2023-03-13T00:00:00"/>
    <d v="2023-03-15T00:00:00"/>
    <x v="3"/>
    <n v="4"/>
    <x v="3"/>
    <n v="1067862"/>
  </r>
  <r>
    <s v="CAND100591"/>
    <s v="Pooja"/>
    <s v="Joshi"/>
    <x v="0"/>
    <n v="41"/>
    <x v="2"/>
    <x v="2"/>
    <x v="3"/>
    <x v="467"/>
    <d v="2023-02-10T00:00:00"/>
    <m/>
    <x v="3"/>
    <n v="9"/>
    <x v="1"/>
    <n v="866834"/>
  </r>
  <r>
    <s v="CAND100592"/>
    <s v="Sneha"/>
    <s v="Singh"/>
    <x v="1"/>
    <n v="31"/>
    <x v="1"/>
    <x v="4"/>
    <x v="1"/>
    <x v="353"/>
    <d v="2023-03-02T00:00:00"/>
    <d v="2023-03-07T00:00:00"/>
    <x v="1"/>
    <n v="9"/>
    <x v="1"/>
    <n v="689324"/>
  </r>
  <r>
    <s v="CAND100593"/>
    <s v="Rahul"/>
    <s v="Joshi"/>
    <x v="0"/>
    <n v="28"/>
    <x v="0"/>
    <x v="4"/>
    <x v="2"/>
    <x v="468"/>
    <d v="2021-12-15T00:00:00"/>
    <d v="2021-12-17T00:00:00"/>
    <x v="1"/>
    <n v="6"/>
    <x v="1"/>
    <n v="491843"/>
  </r>
  <r>
    <s v="CAND100594"/>
    <s v="Neha"/>
    <s v="Joshi"/>
    <x v="0"/>
    <n v="43"/>
    <x v="4"/>
    <x v="1"/>
    <x v="3"/>
    <x v="451"/>
    <d v="2022-09-28T00:00:00"/>
    <d v="2022-10-05T00:00:00"/>
    <x v="0"/>
    <n v="2"/>
    <x v="2"/>
    <n v="607949"/>
  </r>
  <r>
    <s v="CAND100595"/>
    <s v="Rohit"/>
    <s v="Gupta"/>
    <x v="0"/>
    <n v="37"/>
    <x v="1"/>
    <x v="0"/>
    <x v="1"/>
    <x v="318"/>
    <d v="2022-02-19T00:00:00"/>
    <m/>
    <x v="0"/>
    <n v="5"/>
    <x v="3"/>
    <n v="406070"/>
  </r>
  <r>
    <s v="CAND100596"/>
    <s v="Amit"/>
    <s v="Kapoor"/>
    <x v="0"/>
    <n v="24"/>
    <x v="5"/>
    <x v="0"/>
    <x v="1"/>
    <x v="469"/>
    <d v="2021-12-22T00:00:00"/>
    <d v="2021-12-25T00:00:00"/>
    <x v="0"/>
    <n v="6"/>
    <x v="2"/>
    <n v="867244"/>
  </r>
  <r>
    <s v="CAND100597"/>
    <s v="Priya"/>
    <s v="Kapoor"/>
    <x v="1"/>
    <n v="37"/>
    <x v="5"/>
    <x v="0"/>
    <x v="2"/>
    <x v="470"/>
    <d v="2023-11-08T00:00:00"/>
    <m/>
    <x v="4"/>
    <n v="10"/>
    <x v="3"/>
    <n v="528909"/>
  </r>
  <r>
    <s v="CAND100598"/>
    <s v="Amit"/>
    <s v="Reddy"/>
    <x v="0"/>
    <n v="44"/>
    <x v="3"/>
    <x v="0"/>
    <x v="1"/>
    <x v="247"/>
    <d v="2024-01-13T00:00:00"/>
    <d v="2024-01-16T00:00:00"/>
    <x v="2"/>
    <n v="5"/>
    <x v="3"/>
    <n v="1191297"/>
  </r>
  <r>
    <s v="CAND100599"/>
    <s v="Neha"/>
    <s v="Singh"/>
    <x v="1"/>
    <n v="38"/>
    <x v="2"/>
    <x v="3"/>
    <x v="0"/>
    <x v="471"/>
    <d v="2022-12-05T00:00:00"/>
    <m/>
    <x v="0"/>
    <n v="8"/>
    <x v="3"/>
    <n v="736865"/>
  </r>
  <r>
    <s v="CAND100600"/>
    <s v="Pooja"/>
    <s v="Verma"/>
    <x v="1"/>
    <n v="41"/>
    <x v="5"/>
    <x v="4"/>
    <x v="3"/>
    <x v="472"/>
    <d v="2021-02-16T00:00:00"/>
    <d v="2021-02-23T00:00:00"/>
    <x v="0"/>
    <n v="3"/>
    <x v="3"/>
    <n v="646060"/>
  </r>
  <r>
    <s v="CAND100601"/>
    <s v="Pooja"/>
    <s v="Mehta"/>
    <x v="1"/>
    <n v="27"/>
    <x v="2"/>
    <x v="0"/>
    <x v="4"/>
    <x v="30"/>
    <d v="2022-10-30T00:00:00"/>
    <d v="2022-11-05T00:00:00"/>
    <x v="2"/>
    <n v="3"/>
    <x v="3"/>
    <n v="1127286"/>
  </r>
  <r>
    <s v="CAND100602"/>
    <s v="Sneha"/>
    <s v="Iyer"/>
    <x v="1"/>
    <n v="38"/>
    <x v="0"/>
    <x v="4"/>
    <x v="1"/>
    <x v="473"/>
    <d v="2022-09-29T00:00:00"/>
    <m/>
    <x v="2"/>
    <n v="7"/>
    <x v="2"/>
    <n v="660287"/>
  </r>
  <r>
    <s v="CAND100603"/>
    <s v="Sneha"/>
    <s v="Singh"/>
    <x v="0"/>
    <n v="42"/>
    <x v="1"/>
    <x v="0"/>
    <x v="1"/>
    <x v="474"/>
    <d v="2021-01-21T00:00:00"/>
    <d v="2021-01-23T00:00:00"/>
    <x v="3"/>
    <n v="3"/>
    <x v="3"/>
    <n v="983319"/>
  </r>
  <r>
    <s v="CAND100604"/>
    <s v="Rahul"/>
    <s v="Joshi"/>
    <x v="1"/>
    <n v="34"/>
    <x v="5"/>
    <x v="4"/>
    <x v="3"/>
    <x v="53"/>
    <d v="2021-08-20T00:00:00"/>
    <m/>
    <x v="4"/>
    <n v="4"/>
    <x v="3"/>
    <n v="482632"/>
  </r>
  <r>
    <s v="CAND100605"/>
    <s v="Vikas"/>
    <s v="Patel"/>
    <x v="0"/>
    <n v="29"/>
    <x v="4"/>
    <x v="1"/>
    <x v="3"/>
    <x v="475"/>
    <d v="2023-06-29T00:00:00"/>
    <d v="2023-07-04T00:00:00"/>
    <x v="1"/>
    <n v="10"/>
    <x v="0"/>
    <n v="851153"/>
  </r>
  <r>
    <s v="CAND100606"/>
    <s v="Rahul"/>
    <s v="Iyer"/>
    <x v="0"/>
    <n v="42"/>
    <x v="3"/>
    <x v="1"/>
    <x v="3"/>
    <x v="476"/>
    <d v="2023-09-21T00:00:00"/>
    <m/>
    <x v="0"/>
    <n v="2"/>
    <x v="1"/>
    <n v="911459"/>
  </r>
  <r>
    <s v="CAND100607"/>
    <s v="Rahul"/>
    <s v="Kapoor"/>
    <x v="1"/>
    <n v="43"/>
    <x v="5"/>
    <x v="4"/>
    <x v="0"/>
    <x v="477"/>
    <d v="2022-07-19T00:00:00"/>
    <m/>
    <x v="1"/>
    <n v="7"/>
    <x v="3"/>
    <n v="1097677"/>
  </r>
  <r>
    <s v="CAND100608"/>
    <s v="Neha"/>
    <s v="Kapoor"/>
    <x v="0"/>
    <n v="21"/>
    <x v="1"/>
    <x v="1"/>
    <x v="2"/>
    <x v="404"/>
    <d v="2024-02-17T00:00:00"/>
    <m/>
    <x v="0"/>
    <n v="2"/>
    <x v="2"/>
    <n v="369828"/>
  </r>
  <r>
    <s v="CAND100609"/>
    <s v="Pooja"/>
    <s v="Reddy"/>
    <x v="0"/>
    <n v="35"/>
    <x v="0"/>
    <x v="4"/>
    <x v="2"/>
    <x v="478"/>
    <d v="2023-12-29T00:00:00"/>
    <d v="2024-01-02T00:00:00"/>
    <x v="2"/>
    <n v="6"/>
    <x v="1"/>
    <n v="795156"/>
  </r>
  <r>
    <s v="CAND100610"/>
    <s v="Sneha"/>
    <s v="Mehta"/>
    <x v="1"/>
    <n v="36"/>
    <x v="2"/>
    <x v="1"/>
    <x v="0"/>
    <x v="379"/>
    <d v="2021-02-08T00:00:00"/>
    <m/>
    <x v="2"/>
    <n v="8"/>
    <x v="0"/>
    <n v="853538"/>
  </r>
  <r>
    <s v="CAND100611"/>
    <s v="Rahul"/>
    <s v="Patel"/>
    <x v="1"/>
    <n v="44"/>
    <x v="2"/>
    <x v="2"/>
    <x v="1"/>
    <x v="479"/>
    <d v="2021-03-01T00:00:00"/>
    <d v="2021-03-08T00:00:00"/>
    <x v="0"/>
    <n v="9"/>
    <x v="1"/>
    <n v="911704"/>
  </r>
  <r>
    <s v="CAND100612"/>
    <s v="Rahul"/>
    <s v="Joshi"/>
    <x v="1"/>
    <n v="25"/>
    <x v="0"/>
    <x v="3"/>
    <x v="3"/>
    <x v="319"/>
    <d v="2022-05-11T00:00:00"/>
    <m/>
    <x v="3"/>
    <n v="5"/>
    <x v="2"/>
    <n v="928952"/>
  </r>
  <r>
    <s v="CAND100613"/>
    <s v="Ankit"/>
    <s v="Gupta"/>
    <x v="0"/>
    <n v="42"/>
    <x v="4"/>
    <x v="0"/>
    <x v="0"/>
    <x v="480"/>
    <d v="2021-07-26T00:00:00"/>
    <m/>
    <x v="0"/>
    <n v="8"/>
    <x v="2"/>
    <n v="1159661"/>
  </r>
  <r>
    <s v="CAND100614"/>
    <s v="Sneha"/>
    <s v="Patel"/>
    <x v="1"/>
    <n v="36"/>
    <x v="4"/>
    <x v="1"/>
    <x v="1"/>
    <x v="481"/>
    <d v="2024-03-25T00:00:00"/>
    <d v="2024-03-29T00:00:00"/>
    <x v="3"/>
    <n v="7"/>
    <x v="3"/>
    <n v="1066713"/>
  </r>
  <r>
    <s v="CAND100615"/>
    <s v="Vikas"/>
    <s v="Singh"/>
    <x v="1"/>
    <n v="28"/>
    <x v="1"/>
    <x v="3"/>
    <x v="1"/>
    <x v="482"/>
    <d v="2021-03-02T00:00:00"/>
    <m/>
    <x v="1"/>
    <n v="2"/>
    <x v="0"/>
    <n v="424245"/>
  </r>
  <r>
    <s v="CAND100616"/>
    <s v="Vikas"/>
    <s v="Patel"/>
    <x v="1"/>
    <n v="22"/>
    <x v="3"/>
    <x v="2"/>
    <x v="2"/>
    <x v="410"/>
    <d v="2023-07-04T00:00:00"/>
    <d v="2023-07-10T00:00:00"/>
    <x v="0"/>
    <n v="5"/>
    <x v="2"/>
    <n v="1058795"/>
  </r>
  <r>
    <s v="CAND100617"/>
    <s v="Karan"/>
    <s v="Gupta"/>
    <x v="1"/>
    <n v="26"/>
    <x v="5"/>
    <x v="1"/>
    <x v="3"/>
    <x v="397"/>
    <d v="2023-11-16T00:00:00"/>
    <d v="2023-11-20T00:00:00"/>
    <x v="4"/>
    <n v="3"/>
    <x v="1"/>
    <n v="1033105"/>
  </r>
  <r>
    <s v="CAND100618"/>
    <s v="Ankit"/>
    <s v="Iyer"/>
    <x v="1"/>
    <n v="35"/>
    <x v="5"/>
    <x v="2"/>
    <x v="1"/>
    <x v="235"/>
    <d v="2023-05-12T00:00:00"/>
    <m/>
    <x v="3"/>
    <n v="6"/>
    <x v="3"/>
    <n v="1010317"/>
  </r>
  <r>
    <s v="CAND100619"/>
    <s v="Ankit"/>
    <s v="Sharma"/>
    <x v="0"/>
    <n v="23"/>
    <x v="3"/>
    <x v="3"/>
    <x v="1"/>
    <x v="69"/>
    <d v="2022-07-25T00:00:00"/>
    <m/>
    <x v="1"/>
    <n v="10"/>
    <x v="0"/>
    <n v="628010"/>
  </r>
  <r>
    <s v="CAND100620"/>
    <s v="Neha"/>
    <s v="Joshi"/>
    <x v="1"/>
    <n v="32"/>
    <x v="3"/>
    <x v="2"/>
    <x v="1"/>
    <x v="57"/>
    <d v="2021-05-11T00:00:00"/>
    <m/>
    <x v="3"/>
    <n v="10"/>
    <x v="1"/>
    <n v="377632"/>
  </r>
  <r>
    <s v="CAND100621"/>
    <s v="Sneha"/>
    <s v="Reddy"/>
    <x v="1"/>
    <n v="36"/>
    <x v="1"/>
    <x v="4"/>
    <x v="1"/>
    <x v="483"/>
    <d v="2022-12-01T00:00:00"/>
    <m/>
    <x v="2"/>
    <n v="4"/>
    <x v="3"/>
    <n v="779821"/>
  </r>
  <r>
    <s v="CAND100622"/>
    <s v="Rahul"/>
    <s v="Singh"/>
    <x v="1"/>
    <n v="26"/>
    <x v="1"/>
    <x v="0"/>
    <x v="3"/>
    <x v="484"/>
    <d v="2023-09-13T00:00:00"/>
    <d v="2023-09-20T00:00:00"/>
    <x v="0"/>
    <n v="6"/>
    <x v="2"/>
    <n v="887363"/>
  </r>
  <r>
    <s v="CAND100623"/>
    <s v="Ankit"/>
    <s v="Verma"/>
    <x v="1"/>
    <n v="37"/>
    <x v="5"/>
    <x v="1"/>
    <x v="0"/>
    <x v="86"/>
    <d v="2021-04-18T00:00:00"/>
    <m/>
    <x v="4"/>
    <n v="9"/>
    <x v="2"/>
    <n v="1112790"/>
  </r>
  <r>
    <s v="CAND100624"/>
    <s v="Rahul"/>
    <s v="Singh"/>
    <x v="1"/>
    <n v="22"/>
    <x v="1"/>
    <x v="0"/>
    <x v="3"/>
    <x v="485"/>
    <d v="2023-09-28T00:00:00"/>
    <d v="2023-10-03T00:00:00"/>
    <x v="3"/>
    <n v="10"/>
    <x v="0"/>
    <n v="436789"/>
  </r>
  <r>
    <s v="CAND100625"/>
    <s v="Vikas"/>
    <s v="Gupta"/>
    <x v="1"/>
    <n v="36"/>
    <x v="1"/>
    <x v="4"/>
    <x v="1"/>
    <x v="486"/>
    <d v="2022-11-10T00:00:00"/>
    <d v="2022-11-13T00:00:00"/>
    <x v="1"/>
    <n v="5"/>
    <x v="0"/>
    <n v="315665"/>
  </r>
  <r>
    <s v="CAND100626"/>
    <s v="Neha"/>
    <s v="Sharma"/>
    <x v="0"/>
    <n v="36"/>
    <x v="3"/>
    <x v="3"/>
    <x v="1"/>
    <x v="487"/>
    <d v="2021-08-12T00:00:00"/>
    <d v="2021-08-14T00:00:00"/>
    <x v="0"/>
    <n v="3"/>
    <x v="1"/>
    <n v="603847"/>
  </r>
  <r>
    <s v="CAND100627"/>
    <s v="Rohit"/>
    <s v="Kapoor"/>
    <x v="1"/>
    <n v="35"/>
    <x v="5"/>
    <x v="4"/>
    <x v="3"/>
    <x v="31"/>
    <d v="2023-05-04T00:00:00"/>
    <m/>
    <x v="3"/>
    <n v="8"/>
    <x v="0"/>
    <n v="811492"/>
  </r>
  <r>
    <s v="CAND100628"/>
    <s v="Ankit"/>
    <s v="Mehta"/>
    <x v="1"/>
    <n v="35"/>
    <x v="3"/>
    <x v="0"/>
    <x v="4"/>
    <x v="488"/>
    <d v="2022-10-21T00:00:00"/>
    <m/>
    <x v="4"/>
    <n v="3"/>
    <x v="0"/>
    <n v="932176"/>
  </r>
  <r>
    <s v="CAND100629"/>
    <s v="Amit"/>
    <s v="Iyer"/>
    <x v="0"/>
    <n v="33"/>
    <x v="3"/>
    <x v="1"/>
    <x v="4"/>
    <x v="489"/>
    <d v="2022-11-12T00:00:00"/>
    <d v="2022-11-17T00:00:00"/>
    <x v="2"/>
    <n v="7"/>
    <x v="0"/>
    <n v="863497"/>
  </r>
  <r>
    <s v="CAND100630"/>
    <s v="Pooja"/>
    <s v="Iyer"/>
    <x v="0"/>
    <n v="42"/>
    <x v="1"/>
    <x v="2"/>
    <x v="3"/>
    <x v="305"/>
    <d v="2023-04-02T00:00:00"/>
    <m/>
    <x v="3"/>
    <n v="6"/>
    <x v="0"/>
    <n v="670497"/>
  </r>
  <r>
    <s v="CAND100631"/>
    <s v="Rahul"/>
    <s v="Verma"/>
    <x v="1"/>
    <n v="30"/>
    <x v="3"/>
    <x v="3"/>
    <x v="2"/>
    <x v="282"/>
    <d v="2021-01-11T00:00:00"/>
    <m/>
    <x v="3"/>
    <n v="3"/>
    <x v="0"/>
    <n v="1012939"/>
  </r>
  <r>
    <s v="CAND100632"/>
    <s v="Ankit"/>
    <s v="Patel"/>
    <x v="1"/>
    <n v="32"/>
    <x v="3"/>
    <x v="2"/>
    <x v="1"/>
    <x v="295"/>
    <d v="2022-10-04T00:00:00"/>
    <d v="2022-10-08T00:00:00"/>
    <x v="0"/>
    <n v="4"/>
    <x v="0"/>
    <n v="1132659"/>
  </r>
  <r>
    <s v="CAND100633"/>
    <s v="Karan"/>
    <s v="Joshi"/>
    <x v="0"/>
    <n v="25"/>
    <x v="4"/>
    <x v="0"/>
    <x v="0"/>
    <x v="147"/>
    <d v="2022-11-25T00:00:00"/>
    <m/>
    <x v="4"/>
    <n v="7"/>
    <x v="2"/>
    <n v="1111134"/>
  </r>
  <r>
    <s v="CAND100634"/>
    <s v="Rohit"/>
    <s v="Iyer"/>
    <x v="1"/>
    <n v="30"/>
    <x v="3"/>
    <x v="1"/>
    <x v="1"/>
    <x v="490"/>
    <d v="2021-10-09T00:00:00"/>
    <d v="2021-10-11T00:00:00"/>
    <x v="3"/>
    <n v="9"/>
    <x v="2"/>
    <n v="390844"/>
  </r>
  <r>
    <s v="CAND100635"/>
    <s v="Vikas"/>
    <s v="Patel"/>
    <x v="1"/>
    <n v="23"/>
    <x v="4"/>
    <x v="1"/>
    <x v="2"/>
    <x v="491"/>
    <d v="2023-03-11T00:00:00"/>
    <d v="2023-03-16T00:00:00"/>
    <x v="4"/>
    <n v="6"/>
    <x v="0"/>
    <n v="929438"/>
  </r>
  <r>
    <s v="CAND100636"/>
    <s v="Vikas"/>
    <s v="Gupta"/>
    <x v="1"/>
    <n v="43"/>
    <x v="2"/>
    <x v="2"/>
    <x v="3"/>
    <x v="216"/>
    <d v="2022-08-21T00:00:00"/>
    <m/>
    <x v="3"/>
    <n v="8"/>
    <x v="2"/>
    <n v="1172595"/>
  </r>
  <r>
    <s v="CAND100637"/>
    <s v="Ankit"/>
    <s v="Kapoor"/>
    <x v="1"/>
    <n v="22"/>
    <x v="3"/>
    <x v="3"/>
    <x v="3"/>
    <x v="82"/>
    <d v="2021-08-15T00:00:00"/>
    <m/>
    <x v="0"/>
    <n v="9"/>
    <x v="1"/>
    <n v="559810"/>
  </r>
  <r>
    <s v="CAND100638"/>
    <s v="Ankit"/>
    <s v="Iyer"/>
    <x v="1"/>
    <n v="39"/>
    <x v="1"/>
    <x v="1"/>
    <x v="2"/>
    <x v="492"/>
    <d v="2021-05-26T00:00:00"/>
    <d v="2021-05-28T00:00:00"/>
    <x v="2"/>
    <n v="3"/>
    <x v="2"/>
    <n v="451086"/>
  </r>
  <r>
    <s v="CAND100639"/>
    <s v="Ankit"/>
    <s v="Reddy"/>
    <x v="0"/>
    <n v="44"/>
    <x v="0"/>
    <x v="1"/>
    <x v="0"/>
    <x v="480"/>
    <d v="2021-07-18T00:00:00"/>
    <d v="2021-07-25T00:00:00"/>
    <x v="2"/>
    <n v="4"/>
    <x v="1"/>
    <n v="514415"/>
  </r>
  <r>
    <s v="CAND100640"/>
    <s v="Ankit"/>
    <s v="Iyer"/>
    <x v="1"/>
    <n v="39"/>
    <x v="0"/>
    <x v="4"/>
    <x v="4"/>
    <x v="100"/>
    <d v="2023-04-07T00:00:00"/>
    <d v="2023-04-10T00:00:00"/>
    <x v="1"/>
    <n v="3"/>
    <x v="3"/>
    <n v="534795"/>
  </r>
  <r>
    <s v="CAND100641"/>
    <s v="Amit"/>
    <s v="Gupta"/>
    <x v="1"/>
    <n v="28"/>
    <x v="4"/>
    <x v="1"/>
    <x v="2"/>
    <x v="493"/>
    <d v="2022-12-31T00:00:00"/>
    <d v="2023-01-06T00:00:00"/>
    <x v="2"/>
    <n v="10"/>
    <x v="3"/>
    <n v="906958"/>
  </r>
  <r>
    <s v="CAND100642"/>
    <s v="Ankit"/>
    <s v="Verma"/>
    <x v="0"/>
    <n v="21"/>
    <x v="4"/>
    <x v="0"/>
    <x v="3"/>
    <x v="68"/>
    <d v="2021-03-30T00:00:00"/>
    <d v="2021-04-05T00:00:00"/>
    <x v="2"/>
    <n v="2"/>
    <x v="3"/>
    <n v="595708"/>
  </r>
  <r>
    <s v="CAND100643"/>
    <s v="Neha"/>
    <s v="Singh"/>
    <x v="0"/>
    <n v="23"/>
    <x v="3"/>
    <x v="1"/>
    <x v="2"/>
    <x v="494"/>
    <d v="2021-10-26T00:00:00"/>
    <d v="2021-10-29T00:00:00"/>
    <x v="3"/>
    <n v="3"/>
    <x v="1"/>
    <n v="1108768"/>
  </r>
  <r>
    <s v="CAND100644"/>
    <s v="Amit"/>
    <s v="Reddy"/>
    <x v="1"/>
    <n v="34"/>
    <x v="0"/>
    <x v="3"/>
    <x v="2"/>
    <x v="495"/>
    <d v="2021-04-25T00:00:00"/>
    <d v="2021-04-27T00:00:00"/>
    <x v="1"/>
    <n v="4"/>
    <x v="0"/>
    <n v="334342"/>
  </r>
  <r>
    <s v="CAND100645"/>
    <s v="Rohit"/>
    <s v="Gupta"/>
    <x v="1"/>
    <n v="39"/>
    <x v="3"/>
    <x v="1"/>
    <x v="1"/>
    <x v="496"/>
    <d v="2021-03-17T00:00:00"/>
    <m/>
    <x v="0"/>
    <n v="3"/>
    <x v="3"/>
    <n v="362462"/>
  </r>
  <r>
    <s v="CAND100646"/>
    <s v="Pooja"/>
    <s v="Iyer"/>
    <x v="1"/>
    <n v="39"/>
    <x v="4"/>
    <x v="0"/>
    <x v="4"/>
    <x v="326"/>
    <d v="2021-05-07T00:00:00"/>
    <d v="2021-05-14T00:00:00"/>
    <x v="2"/>
    <n v="8"/>
    <x v="1"/>
    <n v="552822"/>
  </r>
  <r>
    <s v="CAND100647"/>
    <s v="Ankit"/>
    <s v="Verma"/>
    <x v="1"/>
    <n v="42"/>
    <x v="5"/>
    <x v="2"/>
    <x v="3"/>
    <x v="354"/>
    <d v="2023-04-03T00:00:00"/>
    <d v="2023-04-10T00:00:00"/>
    <x v="1"/>
    <n v="2"/>
    <x v="2"/>
    <n v="816577"/>
  </r>
  <r>
    <s v="CAND100648"/>
    <s v="Rahul"/>
    <s v="Mehta"/>
    <x v="1"/>
    <n v="30"/>
    <x v="5"/>
    <x v="0"/>
    <x v="2"/>
    <x v="487"/>
    <d v="2021-08-19T00:00:00"/>
    <m/>
    <x v="3"/>
    <n v="3"/>
    <x v="0"/>
    <n v="620409"/>
  </r>
  <r>
    <s v="CAND100649"/>
    <s v="Priya"/>
    <s v="Joshi"/>
    <x v="0"/>
    <n v="36"/>
    <x v="2"/>
    <x v="1"/>
    <x v="2"/>
    <x v="125"/>
    <d v="2023-09-04T00:00:00"/>
    <m/>
    <x v="1"/>
    <n v="6"/>
    <x v="0"/>
    <n v="502999"/>
  </r>
  <r>
    <s v="CAND100650"/>
    <s v="Priya"/>
    <s v="Gupta"/>
    <x v="1"/>
    <n v="31"/>
    <x v="0"/>
    <x v="4"/>
    <x v="1"/>
    <x v="36"/>
    <d v="2023-02-17T00:00:00"/>
    <d v="2023-02-23T00:00:00"/>
    <x v="4"/>
    <n v="2"/>
    <x v="0"/>
    <n v="529023"/>
  </r>
  <r>
    <s v="CAND100651"/>
    <s v="Vikas"/>
    <s v="Iyer"/>
    <x v="1"/>
    <n v="40"/>
    <x v="0"/>
    <x v="3"/>
    <x v="2"/>
    <x v="497"/>
    <d v="2023-05-23T00:00:00"/>
    <m/>
    <x v="2"/>
    <n v="7"/>
    <x v="2"/>
    <n v="620521"/>
  </r>
  <r>
    <s v="CAND100652"/>
    <s v="Vikas"/>
    <s v="Sharma"/>
    <x v="1"/>
    <n v="41"/>
    <x v="1"/>
    <x v="1"/>
    <x v="1"/>
    <x v="367"/>
    <d v="2021-05-22T00:00:00"/>
    <d v="2021-05-25T00:00:00"/>
    <x v="1"/>
    <n v="10"/>
    <x v="2"/>
    <n v="752496"/>
  </r>
  <r>
    <s v="CAND100653"/>
    <s v="Amit"/>
    <s v="Verma"/>
    <x v="0"/>
    <n v="36"/>
    <x v="3"/>
    <x v="3"/>
    <x v="2"/>
    <x v="498"/>
    <d v="2022-05-12T00:00:00"/>
    <m/>
    <x v="1"/>
    <n v="6"/>
    <x v="1"/>
    <n v="683027"/>
  </r>
  <r>
    <s v="CAND100654"/>
    <s v="Pooja"/>
    <s v="Joshi"/>
    <x v="1"/>
    <n v="27"/>
    <x v="3"/>
    <x v="4"/>
    <x v="4"/>
    <x v="499"/>
    <d v="2021-08-02T00:00:00"/>
    <d v="2021-08-09T00:00:00"/>
    <x v="4"/>
    <n v="5"/>
    <x v="3"/>
    <n v="819691"/>
  </r>
  <r>
    <s v="CAND100655"/>
    <s v="Vikas"/>
    <s v="Kapoor"/>
    <x v="1"/>
    <n v="40"/>
    <x v="2"/>
    <x v="3"/>
    <x v="3"/>
    <x v="500"/>
    <d v="2022-04-24T00:00:00"/>
    <m/>
    <x v="2"/>
    <n v="9"/>
    <x v="0"/>
    <n v="998735"/>
  </r>
  <r>
    <s v="CAND100656"/>
    <s v="Priya"/>
    <s v="Verma"/>
    <x v="1"/>
    <n v="35"/>
    <x v="0"/>
    <x v="0"/>
    <x v="4"/>
    <x v="501"/>
    <d v="2022-05-26T00:00:00"/>
    <m/>
    <x v="1"/>
    <n v="5"/>
    <x v="1"/>
    <n v="1039594"/>
  </r>
  <r>
    <s v="CAND100657"/>
    <s v="Priya"/>
    <s v="Singh"/>
    <x v="1"/>
    <n v="33"/>
    <x v="1"/>
    <x v="3"/>
    <x v="0"/>
    <x v="493"/>
    <d v="2023-01-06T00:00:00"/>
    <d v="2023-01-12T00:00:00"/>
    <x v="2"/>
    <n v="3"/>
    <x v="1"/>
    <n v="1158117"/>
  </r>
  <r>
    <s v="CAND100658"/>
    <s v="Vikas"/>
    <s v="Sharma"/>
    <x v="1"/>
    <n v="44"/>
    <x v="1"/>
    <x v="3"/>
    <x v="3"/>
    <x v="502"/>
    <d v="2022-12-10T00:00:00"/>
    <m/>
    <x v="4"/>
    <n v="8"/>
    <x v="0"/>
    <n v="1136383"/>
  </r>
  <r>
    <s v="CAND100659"/>
    <s v="Pooja"/>
    <s v="Iyer"/>
    <x v="1"/>
    <n v="25"/>
    <x v="0"/>
    <x v="4"/>
    <x v="2"/>
    <x v="492"/>
    <d v="2021-05-21T00:00:00"/>
    <d v="2021-05-24T00:00:00"/>
    <x v="4"/>
    <n v="2"/>
    <x v="2"/>
    <n v="535159"/>
  </r>
  <r>
    <s v="CAND100660"/>
    <s v="Karan"/>
    <s v="Mehta"/>
    <x v="1"/>
    <n v="28"/>
    <x v="0"/>
    <x v="1"/>
    <x v="4"/>
    <x v="503"/>
    <d v="2023-07-02T00:00:00"/>
    <m/>
    <x v="0"/>
    <n v="6"/>
    <x v="1"/>
    <n v="521184"/>
  </r>
  <r>
    <s v="CAND100661"/>
    <s v="Priya"/>
    <s v="Mehta"/>
    <x v="0"/>
    <n v="37"/>
    <x v="2"/>
    <x v="3"/>
    <x v="0"/>
    <x v="49"/>
    <d v="2022-03-03T00:00:00"/>
    <d v="2022-03-06T00:00:00"/>
    <x v="3"/>
    <n v="5"/>
    <x v="1"/>
    <n v="1035690"/>
  </r>
  <r>
    <s v="CAND100662"/>
    <s v="Ankit"/>
    <s v="Kapoor"/>
    <x v="1"/>
    <n v="38"/>
    <x v="3"/>
    <x v="4"/>
    <x v="1"/>
    <x v="504"/>
    <d v="2022-06-19T00:00:00"/>
    <d v="2022-06-23T00:00:00"/>
    <x v="0"/>
    <n v="9"/>
    <x v="3"/>
    <n v="875585"/>
  </r>
  <r>
    <s v="CAND100663"/>
    <s v="Karan"/>
    <s v="Patel"/>
    <x v="0"/>
    <n v="36"/>
    <x v="2"/>
    <x v="3"/>
    <x v="1"/>
    <x v="309"/>
    <d v="2024-04-22T00:00:00"/>
    <m/>
    <x v="2"/>
    <n v="4"/>
    <x v="0"/>
    <n v="883379"/>
  </r>
  <r>
    <s v="CAND100664"/>
    <s v="Ankit"/>
    <s v="Mehta"/>
    <x v="0"/>
    <n v="44"/>
    <x v="0"/>
    <x v="4"/>
    <x v="4"/>
    <x v="461"/>
    <d v="2023-01-06T00:00:00"/>
    <m/>
    <x v="2"/>
    <n v="6"/>
    <x v="0"/>
    <n v="505025"/>
  </r>
  <r>
    <s v="CAND100665"/>
    <s v="Priya"/>
    <s v="Singh"/>
    <x v="1"/>
    <n v="22"/>
    <x v="3"/>
    <x v="3"/>
    <x v="3"/>
    <x v="275"/>
    <d v="2024-02-12T00:00:00"/>
    <d v="2024-02-15T00:00:00"/>
    <x v="2"/>
    <n v="9"/>
    <x v="2"/>
    <n v="436510"/>
  </r>
  <r>
    <s v="CAND100666"/>
    <s v="Sneha"/>
    <s v="Gupta"/>
    <x v="1"/>
    <n v="26"/>
    <x v="2"/>
    <x v="2"/>
    <x v="3"/>
    <x v="50"/>
    <d v="2023-10-24T00:00:00"/>
    <d v="2023-10-31T00:00:00"/>
    <x v="2"/>
    <n v="5"/>
    <x v="2"/>
    <n v="364522"/>
  </r>
  <r>
    <s v="CAND100667"/>
    <s v="Neha"/>
    <s v="Patel"/>
    <x v="1"/>
    <n v="35"/>
    <x v="5"/>
    <x v="3"/>
    <x v="3"/>
    <x v="505"/>
    <d v="2021-06-16T00:00:00"/>
    <d v="2021-06-22T00:00:00"/>
    <x v="3"/>
    <n v="3"/>
    <x v="0"/>
    <n v="489817"/>
  </r>
  <r>
    <s v="CAND100668"/>
    <s v="Sneha"/>
    <s v="Gupta"/>
    <x v="0"/>
    <n v="34"/>
    <x v="5"/>
    <x v="4"/>
    <x v="3"/>
    <x v="97"/>
    <d v="2022-04-17T00:00:00"/>
    <m/>
    <x v="2"/>
    <n v="3"/>
    <x v="3"/>
    <n v="963642"/>
  </r>
  <r>
    <s v="CAND100669"/>
    <s v="Rahul"/>
    <s v="Singh"/>
    <x v="0"/>
    <n v="28"/>
    <x v="4"/>
    <x v="2"/>
    <x v="4"/>
    <x v="506"/>
    <d v="2021-06-10T00:00:00"/>
    <m/>
    <x v="4"/>
    <n v="4"/>
    <x v="3"/>
    <n v="809123"/>
  </r>
  <r>
    <s v="CAND100670"/>
    <s v="Pooja"/>
    <s v="Gupta"/>
    <x v="0"/>
    <n v="27"/>
    <x v="1"/>
    <x v="0"/>
    <x v="4"/>
    <x v="507"/>
    <d v="2022-06-27T00:00:00"/>
    <d v="2022-07-04T00:00:00"/>
    <x v="3"/>
    <n v="10"/>
    <x v="0"/>
    <n v="610928"/>
  </r>
  <r>
    <s v="CAND100671"/>
    <s v="Rahul"/>
    <s v="Sharma"/>
    <x v="0"/>
    <n v="28"/>
    <x v="2"/>
    <x v="2"/>
    <x v="1"/>
    <x v="508"/>
    <d v="2021-07-12T00:00:00"/>
    <d v="2021-07-16T00:00:00"/>
    <x v="4"/>
    <n v="4"/>
    <x v="0"/>
    <n v="943947"/>
  </r>
  <r>
    <s v="CAND100672"/>
    <s v="Amit"/>
    <s v="Verma"/>
    <x v="0"/>
    <n v="37"/>
    <x v="4"/>
    <x v="1"/>
    <x v="3"/>
    <x v="108"/>
    <d v="2023-06-27T00:00:00"/>
    <d v="2023-06-30T00:00:00"/>
    <x v="1"/>
    <n v="7"/>
    <x v="1"/>
    <n v="447213"/>
  </r>
  <r>
    <s v="CAND100673"/>
    <s v="Pooja"/>
    <s v="Singh"/>
    <x v="0"/>
    <n v="29"/>
    <x v="2"/>
    <x v="1"/>
    <x v="2"/>
    <x v="509"/>
    <d v="2021-01-30T00:00:00"/>
    <d v="2021-02-01T00:00:00"/>
    <x v="4"/>
    <n v="7"/>
    <x v="2"/>
    <n v="637528"/>
  </r>
  <r>
    <s v="CAND100674"/>
    <s v="Rohit"/>
    <s v="Reddy"/>
    <x v="0"/>
    <n v="38"/>
    <x v="3"/>
    <x v="2"/>
    <x v="4"/>
    <x v="510"/>
    <d v="2022-04-02T00:00:00"/>
    <d v="2022-04-08T00:00:00"/>
    <x v="2"/>
    <n v="5"/>
    <x v="1"/>
    <n v="730324"/>
  </r>
  <r>
    <s v="CAND100675"/>
    <s v="Rohit"/>
    <s v="Singh"/>
    <x v="1"/>
    <n v="26"/>
    <x v="0"/>
    <x v="4"/>
    <x v="3"/>
    <x v="395"/>
    <d v="2022-05-16T00:00:00"/>
    <m/>
    <x v="1"/>
    <n v="5"/>
    <x v="1"/>
    <n v="1074112"/>
  </r>
  <r>
    <s v="CAND100676"/>
    <s v="Neha"/>
    <s v="Sharma"/>
    <x v="1"/>
    <n v="25"/>
    <x v="2"/>
    <x v="0"/>
    <x v="2"/>
    <x v="156"/>
    <d v="2021-02-20T00:00:00"/>
    <d v="2021-02-27T00:00:00"/>
    <x v="0"/>
    <n v="5"/>
    <x v="0"/>
    <n v="829332"/>
  </r>
  <r>
    <s v="CAND100677"/>
    <s v="Amit"/>
    <s v="Gupta"/>
    <x v="0"/>
    <n v="24"/>
    <x v="3"/>
    <x v="3"/>
    <x v="1"/>
    <x v="235"/>
    <d v="2023-05-19T00:00:00"/>
    <m/>
    <x v="4"/>
    <n v="9"/>
    <x v="3"/>
    <n v="964309"/>
  </r>
  <r>
    <s v="CAND100678"/>
    <s v="Ankit"/>
    <s v="Joshi"/>
    <x v="0"/>
    <n v="39"/>
    <x v="2"/>
    <x v="2"/>
    <x v="2"/>
    <x v="511"/>
    <d v="2021-05-09T00:00:00"/>
    <m/>
    <x v="1"/>
    <n v="8"/>
    <x v="3"/>
    <n v="617431"/>
  </r>
  <r>
    <s v="CAND100679"/>
    <s v="Amit"/>
    <s v="Joshi"/>
    <x v="0"/>
    <n v="23"/>
    <x v="3"/>
    <x v="1"/>
    <x v="3"/>
    <x v="264"/>
    <d v="2023-03-18T00:00:00"/>
    <d v="2023-03-25T00:00:00"/>
    <x v="3"/>
    <n v="8"/>
    <x v="2"/>
    <n v="485159"/>
  </r>
  <r>
    <s v="CAND100680"/>
    <s v="Rohit"/>
    <s v="Mehta"/>
    <x v="0"/>
    <n v="25"/>
    <x v="1"/>
    <x v="0"/>
    <x v="2"/>
    <x v="512"/>
    <d v="2023-07-13T00:00:00"/>
    <d v="2023-07-19T00:00:00"/>
    <x v="3"/>
    <n v="5"/>
    <x v="1"/>
    <n v="1040372"/>
  </r>
  <r>
    <s v="CAND100681"/>
    <s v="Neha"/>
    <s v="Verma"/>
    <x v="0"/>
    <n v="43"/>
    <x v="0"/>
    <x v="4"/>
    <x v="4"/>
    <x v="513"/>
    <d v="2023-10-08T00:00:00"/>
    <m/>
    <x v="4"/>
    <n v="7"/>
    <x v="1"/>
    <n v="333420"/>
  </r>
  <r>
    <s v="CAND100682"/>
    <s v="Karan"/>
    <s v="Sharma"/>
    <x v="0"/>
    <n v="21"/>
    <x v="0"/>
    <x v="1"/>
    <x v="1"/>
    <x v="72"/>
    <d v="2023-08-20T00:00:00"/>
    <m/>
    <x v="4"/>
    <n v="8"/>
    <x v="2"/>
    <n v="919968"/>
  </r>
  <r>
    <s v="CAND100683"/>
    <s v="Karan"/>
    <s v="Sharma"/>
    <x v="0"/>
    <n v="33"/>
    <x v="1"/>
    <x v="1"/>
    <x v="4"/>
    <x v="514"/>
    <d v="2021-07-23T00:00:00"/>
    <m/>
    <x v="1"/>
    <n v="6"/>
    <x v="1"/>
    <n v="440956"/>
  </r>
  <r>
    <s v="CAND100684"/>
    <s v="Pooja"/>
    <s v="Iyer"/>
    <x v="0"/>
    <n v="24"/>
    <x v="0"/>
    <x v="2"/>
    <x v="1"/>
    <x v="515"/>
    <d v="2022-10-21T00:00:00"/>
    <m/>
    <x v="2"/>
    <n v="7"/>
    <x v="1"/>
    <n v="315212"/>
  </r>
  <r>
    <s v="CAND100685"/>
    <s v="Karan"/>
    <s v="Mehta"/>
    <x v="0"/>
    <n v="33"/>
    <x v="0"/>
    <x v="1"/>
    <x v="3"/>
    <x v="424"/>
    <d v="2022-03-27T00:00:00"/>
    <d v="2022-04-02T00:00:00"/>
    <x v="0"/>
    <n v="2"/>
    <x v="2"/>
    <n v="1061094"/>
  </r>
  <r>
    <s v="CAND100686"/>
    <s v="Rahul"/>
    <s v="Verma"/>
    <x v="1"/>
    <n v="35"/>
    <x v="5"/>
    <x v="4"/>
    <x v="4"/>
    <x v="516"/>
    <d v="2021-04-08T00:00:00"/>
    <m/>
    <x v="3"/>
    <n v="9"/>
    <x v="1"/>
    <n v="322630"/>
  </r>
  <r>
    <s v="CAND100687"/>
    <s v="Pooja"/>
    <s v="Sharma"/>
    <x v="0"/>
    <n v="31"/>
    <x v="2"/>
    <x v="0"/>
    <x v="0"/>
    <x v="281"/>
    <d v="2021-09-15T00:00:00"/>
    <m/>
    <x v="2"/>
    <n v="2"/>
    <x v="2"/>
    <n v="466180"/>
  </r>
  <r>
    <s v="CAND100688"/>
    <s v="Ankit"/>
    <s v="Joshi"/>
    <x v="1"/>
    <n v="44"/>
    <x v="1"/>
    <x v="4"/>
    <x v="3"/>
    <x v="424"/>
    <d v="2022-03-24T00:00:00"/>
    <m/>
    <x v="3"/>
    <n v="8"/>
    <x v="2"/>
    <n v="343721"/>
  </r>
  <r>
    <s v="CAND100689"/>
    <s v="Karan"/>
    <s v="Iyer"/>
    <x v="0"/>
    <n v="24"/>
    <x v="1"/>
    <x v="0"/>
    <x v="1"/>
    <x v="517"/>
    <d v="2022-06-09T00:00:00"/>
    <d v="2022-06-14T00:00:00"/>
    <x v="4"/>
    <n v="10"/>
    <x v="1"/>
    <n v="1080879"/>
  </r>
  <r>
    <s v="CAND100690"/>
    <s v="Ankit"/>
    <s v="Gupta"/>
    <x v="0"/>
    <n v="36"/>
    <x v="0"/>
    <x v="2"/>
    <x v="4"/>
    <x v="432"/>
    <d v="2023-09-21T00:00:00"/>
    <m/>
    <x v="1"/>
    <n v="4"/>
    <x v="2"/>
    <n v="1129156"/>
  </r>
  <r>
    <s v="CAND100691"/>
    <s v="Sneha"/>
    <s v="Iyer"/>
    <x v="1"/>
    <n v="36"/>
    <x v="0"/>
    <x v="4"/>
    <x v="1"/>
    <x v="518"/>
    <d v="2021-10-16T00:00:00"/>
    <d v="2021-10-22T00:00:00"/>
    <x v="3"/>
    <n v="2"/>
    <x v="2"/>
    <n v="855454"/>
  </r>
  <r>
    <s v="CAND100692"/>
    <s v="Amit"/>
    <s v="Patel"/>
    <x v="0"/>
    <n v="45"/>
    <x v="5"/>
    <x v="3"/>
    <x v="0"/>
    <x v="466"/>
    <d v="2023-03-10T00:00:00"/>
    <m/>
    <x v="3"/>
    <n v="2"/>
    <x v="1"/>
    <n v="1017804"/>
  </r>
  <r>
    <s v="CAND100693"/>
    <s v="Vikas"/>
    <s v="Mehta"/>
    <x v="1"/>
    <n v="45"/>
    <x v="1"/>
    <x v="0"/>
    <x v="0"/>
    <x v="519"/>
    <d v="2023-07-08T00:00:00"/>
    <d v="2023-07-15T00:00:00"/>
    <x v="3"/>
    <n v="3"/>
    <x v="0"/>
    <n v="567082"/>
  </r>
  <r>
    <s v="CAND100694"/>
    <s v="Rahul"/>
    <s v="Verma"/>
    <x v="0"/>
    <n v="30"/>
    <x v="0"/>
    <x v="1"/>
    <x v="0"/>
    <x v="439"/>
    <d v="2023-02-13T00:00:00"/>
    <m/>
    <x v="4"/>
    <n v="2"/>
    <x v="2"/>
    <n v="670768"/>
  </r>
  <r>
    <s v="CAND100695"/>
    <s v="Vikas"/>
    <s v="Verma"/>
    <x v="1"/>
    <n v="30"/>
    <x v="1"/>
    <x v="0"/>
    <x v="3"/>
    <x v="520"/>
    <d v="2021-07-28T00:00:00"/>
    <m/>
    <x v="1"/>
    <n v="3"/>
    <x v="1"/>
    <n v="712842"/>
  </r>
  <r>
    <s v="CAND100696"/>
    <s v="Vikas"/>
    <s v="Mehta"/>
    <x v="1"/>
    <n v="21"/>
    <x v="2"/>
    <x v="4"/>
    <x v="2"/>
    <x v="521"/>
    <d v="2021-05-29T00:00:00"/>
    <m/>
    <x v="0"/>
    <n v="7"/>
    <x v="1"/>
    <n v="882562"/>
  </r>
  <r>
    <s v="CAND100697"/>
    <s v="Ankit"/>
    <s v="Patel"/>
    <x v="0"/>
    <n v="36"/>
    <x v="5"/>
    <x v="2"/>
    <x v="3"/>
    <x v="522"/>
    <d v="2023-05-13T00:00:00"/>
    <d v="2023-05-16T00:00:00"/>
    <x v="2"/>
    <n v="4"/>
    <x v="2"/>
    <n v="780399"/>
  </r>
  <r>
    <s v="CAND100698"/>
    <s v="Pooja"/>
    <s v="Mehta"/>
    <x v="0"/>
    <n v="33"/>
    <x v="0"/>
    <x v="4"/>
    <x v="0"/>
    <x v="71"/>
    <d v="2024-02-14T00:00:00"/>
    <d v="2024-02-16T00:00:00"/>
    <x v="4"/>
    <n v="6"/>
    <x v="0"/>
    <n v="707489"/>
  </r>
  <r>
    <s v="CAND100699"/>
    <s v="Priya"/>
    <s v="Sharma"/>
    <x v="0"/>
    <n v="31"/>
    <x v="5"/>
    <x v="2"/>
    <x v="2"/>
    <x v="240"/>
    <d v="2023-05-29T00:00:00"/>
    <d v="2023-06-02T00:00:00"/>
    <x v="4"/>
    <n v="2"/>
    <x v="0"/>
    <n v="1091390"/>
  </r>
  <r>
    <s v="CAND100700"/>
    <s v="Pooja"/>
    <s v="Iyer"/>
    <x v="0"/>
    <n v="45"/>
    <x v="4"/>
    <x v="2"/>
    <x v="0"/>
    <x v="436"/>
    <d v="2023-11-28T00:00:00"/>
    <d v="2023-12-03T00:00:00"/>
    <x v="4"/>
    <n v="3"/>
    <x v="0"/>
    <n v="1006445"/>
  </r>
  <r>
    <s v="CAND100701"/>
    <s v="Neha"/>
    <s v="Gupta"/>
    <x v="0"/>
    <n v="29"/>
    <x v="1"/>
    <x v="4"/>
    <x v="3"/>
    <x v="523"/>
    <d v="2022-01-25T00:00:00"/>
    <d v="2022-01-29T00:00:00"/>
    <x v="3"/>
    <n v="8"/>
    <x v="1"/>
    <n v="761537"/>
  </r>
  <r>
    <s v="CAND100702"/>
    <s v="Ankit"/>
    <s v="Iyer"/>
    <x v="0"/>
    <n v="26"/>
    <x v="1"/>
    <x v="4"/>
    <x v="4"/>
    <x v="382"/>
    <d v="2021-11-28T00:00:00"/>
    <d v="2021-11-30T00:00:00"/>
    <x v="1"/>
    <n v="2"/>
    <x v="1"/>
    <n v="435612"/>
  </r>
  <r>
    <s v="CAND100703"/>
    <s v="Priya"/>
    <s v="Kapoor"/>
    <x v="0"/>
    <n v="39"/>
    <x v="4"/>
    <x v="2"/>
    <x v="2"/>
    <x v="524"/>
    <d v="2021-11-16T00:00:00"/>
    <m/>
    <x v="4"/>
    <n v="4"/>
    <x v="3"/>
    <n v="1059665"/>
  </r>
  <r>
    <s v="CAND100704"/>
    <s v="Amit"/>
    <s v="Sharma"/>
    <x v="0"/>
    <n v="35"/>
    <x v="1"/>
    <x v="4"/>
    <x v="2"/>
    <x v="525"/>
    <d v="2023-01-26T00:00:00"/>
    <m/>
    <x v="0"/>
    <n v="8"/>
    <x v="2"/>
    <n v="1068866"/>
  </r>
  <r>
    <s v="CAND100705"/>
    <s v="Vikas"/>
    <s v="Patel"/>
    <x v="0"/>
    <n v="35"/>
    <x v="5"/>
    <x v="1"/>
    <x v="3"/>
    <x v="526"/>
    <d v="2023-01-03T00:00:00"/>
    <m/>
    <x v="1"/>
    <n v="7"/>
    <x v="0"/>
    <n v="361332"/>
  </r>
  <r>
    <s v="CAND100706"/>
    <s v="Neha"/>
    <s v="Joshi"/>
    <x v="0"/>
    <n v="24"/>
    <x v="2"/>
    <x v="1"/>
    <x v="1"/>
    <x v="241"/>
    <d v="2023-06-09T00:00:00"/>
    <m/>
    <x v="3"/>
    <n v="8"/>
    <x v="2"/>
    <n v="507345"/>
  </r>
  <r>
    <s v="CAND100707"/>
    <s v="Rahul"/>
    <s v="Patel"/>
    <x v="0"/>
    <n v="34"/>
    <x v="1"/>
    <x v="4"/>
    <x v="1"/>
    <x v="527"/>
    <d v="2023-02-14T00:00:00"/>
    <m/>
    <x v="3"/>
    <n v="2"/>
    <x v="2"/>
    <n v="765483"/>
  </r>
  <r>
    <s v="CAND100708"/>
    <s v="Rahul"/>
    <s v="Singh"/>
    <x v="1"/>
    <n v="28"/>
    <x v="4"/>
    <x v="4"/>
    <x v="0"/>
    <x v="528"/>
    <d v="2023-05-02T00:00:00"/>
    <d v="2023-05-04T00:00:00"/>
    <x v="4"/>
    <n v="3"/>
    <x v="1"/>
    <n v="1156923"/>
  </r>
  <r>
    <s v="CAND100709"/>
    <s v="Vikas"/>
    <s v="Singh"/>
    <x v="1"/>
    <n v="35"/>
    <x v="5"/>
    <x v="3"/>
    <x v="0"/>
    <x v="529"/>
    <d v="2024-02-27T00:00:00"/>
    <m/>
    <x v="0"/>
    <n v="3"/>
    <x v="3"/>
    <n v="445410"/>
  </r>
  <r>
    <s v="CAND100710"/>
    <s v="Sneha"/>
    <s v="Mehta"/>
    <x v="0"/>
    <n v="35"/>
    <x v="4"/>
    <x v="4"/>
    <x v="0"/>
    <x v="530"/>
    <d v="2024-01-08T00:00:00"/>
    <d v="2024-01-10T00:00:00"/>
    <x v="1"/>
    <n v="10"/>
    <x v="3"/>
    <n v="573713"/>
  </r>
  <r>
    <s v="CAND100711"/>
    <s v="Priya"/>
    <s v="Sharma"/>
    <x v="1"/>
    <n v="28"/>
    <x v="4"/>
    <x v="0"/>
    <x v="4"/>
    <x v="531"/>
    <d v="2023-01-03T00:00:00"/>
    <m/>
    <x v="3"/>
    <n v="7"/>
    <x v="2"/>
    <n v="511693"/>
  </r>
  <r>
    <s v="CAND100712"/>
    <s v="Sneha"/>
    <s v="Singh"/>
    <x v="0"/>
    <n v="32"/>
    <x v="3"/>
    <x v="3"/>
    <x v="3"/>
    <x v="532"/>
    <d v="2023-09-06T00:00:00"/>
    <m/>
    <x v="1"/>
    <n v="2"/>
    <x v="1"/>
    <n v="474645"/>
  </r>
  <r>
    <s v="CAND100713"/>
    <s v="Priya"/>
    <s v="Iyer"/>
    <x v="0"/>
    <n v="29"/>
    <x v="1"/>
    <x v="1"/>
    <x v="4"/>
    <x v="533"/>
    <d v="2024-04-16T00:00:00"/>
    <m/>
    <x v="3"/>
    <n v="9"/>
    <x v="2"/>
    <n v="713541"/>
  </r>
  <r>
    <s v="CAND100714"/>
    <s v="Priya"/>
    <s v="Verma"/>
    <x v="0"/>
    <n v="30"/>
    <x v="5"/>
    <x v="3"/>
    <x v="1"/>
    <x v="422"/>
    <d v="2023-12-09T00:00:00"/>
    <d v="2023-12-13T00:00:00"/>
    <x v="0"/>
    <n v="8"/>
    <x v="1"/>
    <n v="588368"/>
  </r>
  <r>
    <s v="CAND100715"/>
    <s v="Rohit"/>
    <s v="Patel"/>
    <x v="0"/>
    <n v="29"/>
    <x v="1"/>
    <x v="0"/>
    <x v="3"/>
    <x v="97"/>
    <d v="2022-04-29T00:00:00"/>
    <d v="2022-05-01T00:00:00"/>
    <x v="1"/>
    <n v="2"/>
    <x v="3"/>
    <n v="804571"/>
  </r>
  <r>
    <s v="CAND100716"/>
    <s v="Rohit"/>
    <s v="Iyer"/>
    <x v="0"/>
    <n v="30"/>
    <x v="5"/>
    <x v="3"/>
    <x v="4"/>
    <x v="534"/>
    <d v="2023-06-02T00:00:00"/>
    <d v="2023-06-09T00:00:00"/>
    <x v="4"/>
    <n v="6"/>
    <x v="1"/>
    <n v="1042193"/>
  </r>
  <r>
    <s v="CAND100717"/>
    <s v="Priya"/>
    <s v="Patel"/>
    <x v="1"/>
    <n v="43"/>
    <x v="0"/>
    <x v="1"/>
    <x v="0"/>
    <x v="112"/>
    <d v="2023-03-30T00:00:00"/>
    <d v="2023-04-03T00:00:00"/>
    <x v="2"/>
    <n v="9"/>
    <x v="3"/>
    <n v="464199"/>
  </r>
  <r>
    <s v="CAND100718"/>
    <s v="Priya"/>
    <s v="Patel"/>
    <x v="1"/>
    <n v="21"/>
    <x v="5"/>
    <x v="0"/>
    <x v="3"/>
    <x v="535"/>
    <d v="2024-03-02T00:00:00"/>
    <d v="2024-03-09T00:00:00"/>
    <x v="4"/>
    <n v="9"/>
    <x v="0"/>
    <n v="1099968"/>
  </r>
  <r>
    <s v="CAND100719"/>
    <s v="Priya"/>
    <s v="Singh"/>
    <x v="0"/>
    <n v="39"/>
    <x v="1"/>
    <x v="3"/>
    <x v="1"/>
    <x v="536"/>
    <d v="2021-04-02T00:00:00"/>
    <d v="2021-04-09T00:00:00"/>
    <x v="3"/>
    <n v="8"/>
    <x v="2"/>
    <n v="507616"/>
  </r>
  <r>
    <s v="CAND100720"/>
    <s v="Ankit"/>
    <s v="Gupta"/>
    <x v="0"/>
    <n v="36"/>
    <x v="5"/>
    <x v="0"/>
    <x v="3"/>
    <x v="537"/>
    <d v="2022-09-21T00:00:00"/>
    <m/>
    <x v="1"/>
    <n v="6"/>
    <x v="1"/>
    <n v="805474"/>
  </r>
  <r>
    <s v="CAND100721"/>
    <s v="Rahul"/>
    <s v="Reddy"/>
    <x v="1"/>
    <n v="43"/>
    <x v="0"/>
    <x v="2"/>
    <x v="0"/>
    <x v="16"/>
    <d v="2022-11-06T00:00:00"/>
    <d v="2022-11-09T00:00:00"/>
    <x v="4"/>
    <n v="3"/>
    <x v="1"/>
    <n v="579397"/>
  </r>
  <r>
    <s v="CAND100722"/>
    <s v="Priya"/>
    <s v="Iyer"/>
    <x v="0"/>
    <n v="39"/>
    <x v="3"/>
    <x v="3"/>
    <x v="0"/>
    <x v="538"/>
    <d v="2023-04-20T00:00:00"/>
    <d v="2023-04-27T00:00:00"/>
    <x v="4"/>
    <n v="6"/>
    <x v="1"/>
    <n v="862155"/>
  </r>
  <r>
    <s v="CAND100723"/>
    <s v="Rahul"/>
    <s v="Gupta"/>
    <x v="0"/>
    <n v="44"/>
    <x v="0"/>
    <x v="0"/>
    <x v="0"/>
    <x v="389"/>
    <d v="2021-04-18T00:00:00"/>
    <d v="2021-04-21T00:00:00"/>
    <x v="2"/>
    <n v="2"/>
    <x v="1"/>
    <n v="1048317"/>
  </r>
  <r>
    <s v="CAND100724"/>
    <s v="Karan"/>
    <s v="Sharma"/>
    <x v="0"/>
    <n v="23"/>
    <x v="1"/>
    <x v="3"/>
    <x v="0"/>
    <x v="446"/>
    <d v="2021-12-29T00:00:00"/>
    <d v="2022-01-03T00:00:00"/>
    <x v="1"/>
    <n v="4"/>
    <x v="3"/>
    <n v="836477"/>
  </r>
  <r>
    <s v="CAND100725"/>
    <s v="Sneha"/>
    <s v="Patel"/>
    <x v="0"/>
    <n v="39"/>
    <x v="3"/>
    <x v="0"/>
    <x v="1"/>
    <x v="539"/>
    <d v="2021-08-23T00:00:00"/>
    <m/>
    <x v="0"/>
    <n v="9"/>
    <x v="3"/>
    <n v="476018"/>
  </r>
  <r>
    <s v="CAND100726"/>
    <s v="Priya"/>
    <s v="Kapoor"/>
    <x v="0"/>
    <n v="41"/>
    <x v="5"/>
    <x v="1"/>
    <x v="3"/>
    <x v="540"/>
    <d v="2021-01-24T00:00:00"/>
    <d v="2021-01-29T00:00:00"/>
    <x v="0"/>
    <n v="4"/>
    <x v="0"/>
    <n v="408771"/>
  </r>
  <r>
    <s v="CAND100727"/>
    <s v="Priya"/>
    <s v="Singh"/>
    <x v="0"/>
    <n v="32"/>
    <x v="5"/>
    <x v="2"/>
    <x v="2"/>
    <x v="340"/>
    <d v="2023-11-21T00:00:00"/>
    <d v="2023-11-25T00:00:00"/>
    <x v="3"/>
    <n v="5"/>
    <x v="2"/>
    <n v="567007"/>
  </r>
  <r>
    <s v="CAND100728"/>
    <s v="Rahul"/>
    <s v="Patel"/>
    <x v="1"/>
    <n v="45"/>
    <x v="1"/>
    <x v="1"/>
    <x v="4"/>
    <x v="541"/>
    <d v="2023-06-30T00:00:00"/>
    <m/>
    <x v="0"/>
    <n v="3"/>
    <x v="0"/>
    <n v="607058"/>
  </r>
  <r>
    <s v="CAND100729"/>
    <s v="Sneha"/>
    <s v="Singh"/>
    <x v="1"/>
    <n v="38"/>
    <x v="2"/>
    <x v="1"/>
    <x v="1"/>
    <x v="395"/>
    <d v="2022-05-25T00:00:00"/>
    <m/>
    <x v="1"/>
    <n v="3"/>
    <x v="2"/>
    <n v="1186139"/>
  </r>
  <r>
    <s v="CAND100730"/>
    <s v="Ankit"/>
    <s v="Joshi"/>
    <x v="0"/>
    <n v="21"/>
    <x v="1"/>
    <x v="1"/>
    <x v="1"/>
    <x v="542"/>
    <d v="2024-03-27T00:00:00"/>
    <d v="2024-03-30T00:00:00"/>
    <x v="4"/>
    <n v="3"/>
    <x v="1"/>
    <n v="1126137"/>
  </r>
  <r>
    <s v="CAND100731"/>
    <s v="Pooja"/>
    <s v="Iyer"/>
    <x v="0"/>
    <n v="23"/>
    <x v="2"/>
    <x v="2"/>
    <x v="4"/>
    <x v="543"/>
    <d v="2023-06-07T00:00:00"/>
    <m/>
    <x v="4"/>
    <n v="5"/>
    <x v="1"/>
    <n v="976667"/>
  </r>
  <r>
    <s v="CAND100732"/>
    <s v="Rahul"/>
    <s v="Mehta"/>
    <x v="0"/>
    <n v="33"/>
    <x v="0"/>
    <x v="3"/>
    <x v="3"/>
    <x v="544"/>
    <d v="2022-01-20T00:00:00"/>
    <m/>
    <x v="2"/>
    <n v="4"/>
    <x v="3"/>
    <n v="851213"/>
  </r>
  <r>
    <s v="CAND100733"/>
    <s v="Rahul"/>
    <s v="Kapoor"/>
    <x v="1"/>
    <n v="23"/>
    <x v="2"/>
    <x v="3"/>
    <x v="4"/>
    <x v="154"/>
    <d v="2024-01-21T00:00:00"/>
    <d v="2024-01-26T00:00:00"/>
    <x v="0"/>
    <n v="5"/>
    <x v="2"/>
    <n v="1165080"/>
  </r>
  <r>
    <s v="CAND100734"/>
    <s v="Sneha"/>
    <s v="Singh"/>
    <x v="0"/>
    <n v="39"/>
    <x v="0"/>
    <x v="3"/>
    <x v="1"/>
    <x v="464"/>
    <d v="2023-03-08T00:00:00"/>
    <m/>
    <x v="4"/>
    <n v="9"/>
    <x v="1"/>
    <n v="826637"/>
  </r>
  <r>
    <s v="CAND100735"/>
    <s v="Rahul"/>
    <s v="Verma"/>
    <x v="1"/>
    <n v="27"/>
    <x v="2"/>
    <x v="4"/>
    <x v="1"/>
    <x v="545"/>
    <d v="2021-11-10T00:00:00"/>
    <m/>
    <x v="1"/>
    <n v="2"/>
    <x v="3"/>
    <n v="882250"/>
  </r>
  <r>
    <s v="CAND100736"/>
    <s v="Rohit"/>
    <s v="Joshi"/>
    <x v="1"/>
    <n v="27"/>
    <x v="1"/>
    <x v="4"/>
    <x v="3"/>
    <x v="224"/>
    <d v="2023-12-04T00:00:00"/>
    <d v="2023-12-07T00:00:00"/>
    <x v="4"/>
    <n v="8"/>
    <x v="0"/>
    <n v="667866"/>
  </r>
  <r>
    <s v="CAND100737"/>
    <s v="Ankit"/>
    <s v="Verma"/>
    <x v="0"/>
    <n v="44"/>
    <x v="3"/>
    <x v="1"/>
    <x v="1"/>
    <x v="546"/>
    <d v="2022-02-14T00:00:00"/>
    <d v="2022-02-18T00:00:00"/>
    <x v="3"/>
    <n v="5"/>
    <x v="1"/>
    <n v="1158591"/>
  </r>
  <r>
    <s v="CAND100738"/>
    <s v="Ankit"/>
    <s v="Iyer"/>
    <x v="0"/>
    <n v="34"/>
    <x v="5"/>
    <x v="0"/>
    <x v="1"/>
    <x v="547"/>
    <d v="2022-02-14T00:00:00"/>
    <d v="2022-02-17T00:00:00"/>
    <x v="4"/>
    <n v="5"/>
    <x v="3"/>
    <n v="865256"/>
  </r>
  <r>
    <s v="CAND100739"/>
    <s v="Vikas"/>
    <s v="Kapoor"/>
    <x v="1"/>
    <n v="21"/>
    <x v="2"/>
    <x v="0"/>
    <x v="2"/>
    <x v="548"/>
    <d v="2024-03-23T00:00:00"/>
    <m/>
    <x v="1"/>
    <n v="3"/>
    <x v="1"/>
    <n v="548904"/>
  </r>
  <r>
    <s v="CAND100740"/>
    <s v="Rahul"/>
    <s v="Reddy"/>
    <x v="0"/>
    <n v="24"/>
    <x v="3"/>
    <x v="4"/>
    <x v="4"/>
    <x v="549"/>
    <d v="2022-08-01T00:00:00"/>
    <m/>
    <x v="4"/>
    <n v="2"/>
    <x v="3"/>
    <n v="750728"/>
  </r>
  <r>
    <s v="CAND100741"/>
    <s v="Rahul"/>
    <s v="Reddy"/>
    <x v="0"/>
    <n v="21"/>
    <x v="5"/>
    <x v="0"/>
    <x v="0"/>
    <x v="164"/>
    <d v="2022-11-28T00:00:00"/>
    <d v="2022-12-05T00:00:00"/>
    <x v="1"/>
    <n v="3"/>
    <x v="3"/>
    <n v="828360"/>
  </r>
  <r>
    <s v="CAND100742"/>
    <s v="Karan"/>
    <s v="Reddy"/>
    <x v="0"/>
    <n v="25"/>
    <x v="5"/>
    <x v="2"/>
    <x v="0"/>
    <x v="550"/>
    <d v="2022-08-20T00:00:00"/>
    <d v="2022-08-25T00:00:00"/>
    <x v="1"/>
    <n v="2"/>
    <x v="3"/>
    <n v="1180601"/>
  </r>
  <r>
    <s v="CAND100743"/>
    <s v="Neha"/>
    <s v="Mehta"/>
    <x v="0"/>
    <n v="34"/>
    <x v="0"/>
    <x v="0"/>
    <x v="2"/>
    <x v="551"/>
    <d v="2022-02-16T00:00:00"/>
    <d v="2022-02-19T00:00:00"/>
    <x v="4"/>
    <n v="4"/>
    <x v="0"/>
    <n v="343212"/>
  </r>
  <r>
    <s v="CAND100744"/>
    <s v="Sneha"/>
    <s v="Verma"/>
    <x v="1"/>
    <n v="36"/>
    <x v="3"/>
    <x v="3"/>
    <x v="0"/>
    <x v="552"/>
    <d v="2021-10-20T00:00:00"/>
    <m/>
    <x v="1"/>
    <n v="6"/>
    <x v="0"/>
    <n v="353386"/>
  </r>
  <r>
    <s v="CAND100745"/>
    <s v="Amit"/>
    <s v="Gupta"/>
    <x v="0"/>
    <n v="38"/>
    <x v="3"/>
    <x v="0"/>
    <x v="4"/>
    <x v="553"/>
    <d v="2021-10-08T00:00:00"/>
    <d v="2021-10-13T00:00:00"/>
    <x v="0"/>
    <n v="3"/>
    <x v="0"/>
    <n v="683891"/>
  </r>
  <r>
    <s v="CAND100746"/>
    <s v="Vikas"/>
    <s v="Patel"/>
    <x v="1"/>
    <n v="26"/>
    <x v="1"/>
    <x v="2"/>
    <x v="3"/>
    <x v="554"/>
    <d v="2022-11-07T00:00:00"/>
    <d v="2022-11-12T00:00:00"/>
    <x v="3"/>
    <n v="5"/>
    <x v="1"/>
    <n v="753811"/>
  </r>
  <r>
    <s v="CAND100747"/>
    <s v="Ankit"/>
    <s v="Verma"/>
    <x v="1"/>
    <n v="29"/>
    <x v="3"/>
    <x v="3"/>
    <x v="2"/>
    <x v="163"/>
    <d v="2021-08-30T00:00:00"/>
    <d v="2021-09-01T00:00:00"/>
    <x v="3"/>
    <n v="9"/>
    <x v="0"/>
    <n v="543360"/>
  </r>
  <r>
    <s v="CAND100748"/>
    <s v="Karan"/>
    <s v="Singh"/>
    <x v="1"/>
    <n v="45"/>
    <x v="2"/>
    <x v="3"/>
    <x v="4"/>
    <x v="555"/>
    <d v="2021-10-06T00:00:00"/>
    <m/>
    <x v="2"/>
    <n v="6"/>
    <x v="2"/>
    <n v="906077"/>
  </r>
  <r>
    <s v="CAND100749"/>
    <s v="Priya"/>
    <s v="Reddy"/>
    <x v="1"/>
    <n v="31"/>
    <x v="5"/>
    <x v="3"/>
    <x v="0"/>
    <x v="443"/>
    <d v="2022-07-27T00:00:00"/>
    <m/>
    <x v="1"/>
    <n v="9"/>
    <x v="3"/>
    <n v="1025772"/>
  </r>
  <r>
    <s v="CAND100750"/>
    <s v="Ankit"/>
    <s v="Reddy"/>
    <x v="1"/>
    <n v="28"/>
    <x v="2"/>
    <x v="0"/>
    <x v="2"/>
    <x v="556"/>
    <d v="2022-10-24T00:00:00"/>
    <m/>
    <x v="2"/>
    <n v="4"/>
    <x v="2"/>
    <n v="821181"/>
  </r>
  <r>
    <s v="CAND100751"/>
    <s v="Karan"/>
    <s v="Kapoor"/>
    <x v="0"/>
    <n v="21"/>
    <x v="1"/>
    <x v="4"/>
    <x v="2"/>
    <x v="557"/>
    <d v="2022-12-06T00:00:00"/>
    <d v="2022-12-10T00:00:00"/>
    <x v="2"/>
    <n v="8"/>
    <x v="3"/>
    <n v="816076"/>
  </r>
  <r>
    <s v="CAND100752"/>
    <s v="Neha"/>
    <s v="Sharma"/>
    <x v="1"/>
    <n v="35"/>
    <x v="1"/>
    <x v="2"/>
    <x v="4"/>
    <x v="284"/>
    <d v="2022-06-15T00:00:00"/>
    <d v="2022-06-21T00:00:00"/>
    <x v="2"/>
    <n v="10"/>
    <x v="1"/>
    <n v="1141292"/>
  </r>
  <r>
    <s v="CAND100753"/>
    <s v="Ankit"/>
    <s v="Reddy"/>
    <x v="1"/>
    <n v="37"/>
    <x v="0"/>
    <x v="1"/>
    <x v="0"/>
    <x v="558"/>
    <d v="2024-04-06T00:00:00"/>
    <d v="2024-04-10T00:00:00"/>
    <x v="1"/>
    <n v="4"/>
    <x v="2"/>
    <n v="1004565"/>
  </r>
  <r>
    <s v="CAND100754"/>
    <s v="Rohit"/>
    <s v="Kapoor"/>
    <x v="0"/>
    <n v="39"/>
    <x v="3"/>
    <x v="2"/>
    <x v="2"/>
    <x v="378"/>
    <d v="2022-04-12T00:00:00"/>
    <m/>
    <x v="1"/>
    <n v="5"/>
    <x v="1"/>
    <n v="366370"/>
  </r>
  <r>
    <s v="CAND100755"/>
    <s v="Priya"/>
    <s v="Iyer"/>
    <x v="1"/>
    <n v="40"/>
    <x v="0"/>
    <x v="2"/>
    <x v="4"/>
    <x v="292"/>
    <d v="2021-09-06T00:00:00"/>
    <d v="2021-09-09T00:00:00"/>
    <x v="3"/>
    <n v="2"/>
    <x v="1"/>
    <n v="1129813"/>
  </r>
  <r>
    <s v="CAND100756"/>
    <s v="Sneha"/>
    <s v="Patel"/>
    <x v="0"/>
    <n v="42"/>
    <x v="2"/>
    <x v="0"/>
    <x v="3"/>
    <x v="216"/>
    <d v="2022-08-17T00:00:00"/>
    <d v="2022-08-22T00:00:00"/>
    <x v="3"/>
    <n v="8"/>
    <x v="0"/>
    <n v="645284"/>
  </r>
  <r>
    <s v="CAND100757"/>
    <s v="Ankit"/>
    <s v="Verma"/>
    <x v="1"/>
    <n v="35"/>
    <x v="1"/>
    <x v="2"/>
    <x v="2"/>
    <x v="559"/>
    <d v="2022-02-16T00:00:00"/>
    <d v="2022-02-19T00:00:00"/>
    <x v="2"/>
    <n v="4"/>
    <x v="1"/>
    <n v="901626"/>
  </r>
  <r>
    <s v="CAND100758"/>
    <s v="Ankit"/>
    <s v="Mehta"/>
    <x v="1"/>
    <n v="42"/>
    <x v="5"/>
    <x v="3"/>
    <x v="4"/>
    <x v="192"/>
    <d v="2022-02-15T00:00:00"/>
    <m/>
    <x v="4"/>
    <n v="10"/>
    <x v="0"/>
    <n v="749944"/>
  </r>
  <r>
    <s v="CAND100759"/>
    <s v="Ankit"/>
    <s v="Kapoor"/>
    <x v="0"/>
    <n v="31"/>
    <x v="3"/>
    <x v="3"/>
    <x v="4"/>
    <x v="281"/>
    <d v="2021-09-16T00:00:00"/>
    <d v="2021-09-21T00:00:00"/>
    <x v="1"/>
    <n v="9"/>
    <x v="1"/>
    <n v="571236"/>
  </r>
  <r>
    <s v="CAND100760"/>
    <s v="Sneha"/>
    <s v="Patel"/>
    <x v="0"/>
    <n v="36"/>
    <x v="2"/>
    <x v="2"/>
    <x v="4"/>
    <x v="560"/>
    <d v="2021-02-23T00:00:00"/>
    <m/>
    <x v="2"/>
    <n v="7"/>
    <x v="1"/>
    <n v="457584"/>
  </r>
  <r>
    <s v="CAND100761"/>
    <s v="Vikas"/>
    <s v="Iyer"/>
    <x v="1"/>
    <n v="26"/>
    <x v="0"/>
    <x v="1"/>
    <x v="0"/>
    <x v="561"/>
    <d v="2022-05-21T00:00:00"/>
    <d v="2022-05-26T00:00:00"/>
    <x v="2"/>
    <n v="10"/>
    <x v="2"/>
    <n v="774171"/>
  </r>
  <r>
    <s v="CAND100762"/>
    <s v="Karan"/>
    <s v="Gupta"/>
    <x v="0"/>
    <n v="32"/>
    <x v="1"/>
    <x v="4"/>
    <x v="3"/>
    <x v="562"/>
    <d v="2021-11-10T00:00:00"/>
    <d v="2021-11-17T00:00:00"/>
    <x v="1"/>
    <n v="7"/>
    <x v="3"/>
    <n v="556525"/>
  </r>
  <r>
    <s v="CAND100763"/>
    <s v="Amit"/>
    <s v="Verma"/>
    <x v="1"/>
    <n v="36"/>
    <x v="4"/>
    <x v="1"/>
    <x v="1"/>
    <x v="563"/>
    <d v="2024-03-03T00:00:00"/>
    <m/>
    <x v="1"/>
    <n v="8"/>
    <x v="1"/>
    <n v="1197616"/>
  </r>
  <r>
    <s v="CAND100764"/>
    <s v="Vikas"/>
    <s v="Gupta"/>
    <x v="1"/>
    <n v="27"/>
    <x v="1"/>
    <x v="4"/>
    <x v="0"/>
    <x v="564"/>
    <d v="2024-01-13T00:00:00"/>
    <d v="2024-01-16T00:00:00"/>
    <x v="0"/>
    <n v="2"/>
    <x v="0"/>
    <n v="623453"/>
  </r>
  <r>
    <s v="CAND100765"/>
    <s v="Priya"/>
    <s v="Gupta"/>
    <x v="0"/>
    <n v="45"/>
    <x v="5"/>
    <x v="1"/>
    <x v="3"/>
    <x v="565"/>
    <d v="2024-02-10T00:00:00"/>
    <d v="2024-02-17T00:00:00"/>
    <x v="1"/>
    <n v="9"/>
    <x v="1"/>
    <n v="1172694"/>
  </r>
  <r>
    <s v="CAND100766"/>
    <s v="Ankit"/>
    <s v="Kapoor"/>
    <x v="0"/>
    <n v="41"/>
    <x v="3"/>
    <x v="1"/>
    <x v="4"/>
    <x v="566"/>
    <d v="2023-02-01T00:00:00"/>
    <m/>
    <x v="4"/>
    <n v="4"/>
    <x v="2"/>
    <n v="331562"/>
  </r>
  <r>
    <s v="CAND100767"/>
    <s v="Rohit"/>
    <s v="Iyer"/>
    <x v="1"/>
    <n v="22"/>
    <x v="3"/>
    <x v="0"/>
    <x v="0"/>
    <x v="70"/>
    <d v="2022-06-07T00:00:00"/>
    <d v="2022-06-14T00:00:00"/>
    <x v="0"/>
    <n v="10"/>
    <x v="2"/>
    <n v="396674"/>
  </r>
  <r>
    <s v="CAND100768"/>
    <s v="Ankit"/>
    <s v="Singh"/>
    <x v="0"/>
    <n v="44"/>
    <x v="4"/>
    <x v="1"/>
    <x v="0"/>
    <x v="139"/>
    <d v="2021-05-28T00:00:00"/>
    <m/>
    <x v="1"/>
    <n v="9"/>
    <x v="0"/>
    <n v="818274"/>
  </r>
  <r>
    <s v="CAND100769"/>
    <s v="Sneha"/>
    <s v="Sharma"/>
    <x v="1"/>
    <n v="32"/>
    <x v="2"/>
    <x v="4"/>
    <x v="1"/>
    <x v="567"/>
    <d v="2021-10-08T00:00:00"/>
    <m/>
    <x v="3"/>
    <n v="10"/>
    <x v="3"/>
    <n v="766537"/>
  </r>
  <r>
    <s v="CAND100770"/>
    <s v="Neha"/>
    <s v="Singh"/>
    <x v="0"/>
    <n v="32"/>
    <x v="3"/>
    <x v="1"/>
    <x v="4"/>
    <x v="348"/>
    <d v="2022-04-05T00:00:00"/>
    <d v="2022-04-09T00:00:00"/>
    <x v="4"/>
    <n v="4"/>
    <x v="2"/>
    <n v="1107760"/>
  </r>
  <r>
    <s v="CAND100771"/>
    <s v="Amit"/>
    <s v="Verma"/>
    <x v="0"/>
    <n v="34"/>
    <x v="3"/>
    <x v="4"/>
    <x v="4"/>
    <x v="6"/>
    <d v="2021-10-26T00:00:00"/>
    <d v="2021-10-31T00:00:00"/>
    <x v="2"/>
    <n v="10"/>
    <x v="2"/>
    <n v="551945"/>
  </r>
  <r>
    <s v="CAND100772"/>
    <s v="Karan"/>
    <s v="Gupta"/>
    <x v="1"/>
    <n v="27"/>
    <x v="1"/>
    <x v="1"/>
    <x v="0"/>
    <x v="568"/>
    <d v="2022-12-23T00:00:00"/>
    <d v="2022-12-26T00:00:00"/>
    <x v="3"/>
    <n v="7"/>
    <x v="1"/>
    <n v="474071"/>
  </r>
  <r>
    <s v="CAND100773"/>
    <s v="Pooja"/>
    <s v="Gupta"/>
    <x v="0"/>
    <n v="30"/>
    <x v="1"/>
    <x v="3"/>
    <x v="2"/>
    <x v="569"/>
    <d v="2022-04-15T00:00:00"/>
    <d v="2022-04-18T00:00:00"/>
    <x v="2"/>
    <n v="4"/>
    <x v="2"/>
    <n v="687972"/>
  </r>
  <r>
    <s v="CAND100774"/>
    <s v="Karan"/>
    <s v="Joshi"/>
    <x v="1"/>
    <n v="32"/>
    <x v="2"/>
    <x v="4"/>
    <x v="2"/>
    <x v="181"/>
    <d v="2021-11-23T00:00:00"/>
    <m/>
    <x v="2"/>
    <n v="8"/>
    <x v="0"/>
    <n v="746578"/>
  </r>
  <r>
    <s v="CAND100775"/>
    <s v="Priya"/>
    <s v="Singh"/>
    <x v="1"/>
    <n v="45"/>
    <x v="4"/>
    <x v="1"/>
    <x v="3"/>
    <x v="570"/>
    <d v="2021-06-20T00:00:00"/>
    <d v="2021-06-27T00:00:00"/>
    <x v="0"/>
    <n v="10"/>
    <x v="3"/>
    <n v="644629"/>
  </r>
  <r>
    <s v="CAND100776"/>
    <s v="Neha"/>
    <s v="Verma"/>
    <x v="0"/>
    <n v="24"/>
    <x v="1"/>
    <x v="0"/>
    <x v="0"/>
    <x v="571"/>
    <d v="2023-08-21T00:00:00"/>
    <d v="2023-08-23T00:00:00"/>
    <x v="0"/>
    <n v="4"/>
    <x v="0"/>
    <n v="1072450"/>
  </r>
  <r>
    <s v="CAND100777"/>
    <s v="Karan"/>
    <s v="Reddy"/>
    <x v="0"/>
    <n v="25"/>
    <x v="2"/>
    <x v="1"/>
    <x v="4"/>
    <x v="572"/>
    <d v="2022-09-13T00:00:00"/>
    <d v="2022-09-16T00:00:00"/>
    <x v="0"/>
    <n v="5"/>
    <x v="1"/>
    <n v="973547"/>
  </r>
  <r>
    <s v="CAND100778"/>
    <s v="Sneha"/>
    <s v="Kapoor"/>
    <x v="0"/>
    <n v="30"/>
    <x v="0"/>
    <x v="0"/>
    <x v="3"/>
    <x v="573"/>
    <d v="2022-02-28T00:00:00"/>
    <m/>
    <x v="3"/>
    <n v="6"/>
    <x v="0"/>
    <n v="990789"/>
  </r>
  <r>
    <s v="CAND100779"/>
    <s v="Karan"/>
    <s v="Verma"/>
    <x v="1"/>
    <n v="33"/>
    <x v="5"/>
    <x v="0"/>
    <x v="3"/>
    <x v="120"/>
    <d v="2022-05-25T00:00:00"/>
    <d v="2022-05-30T00:00:00"/>
    <x v="2"/>
    <n v="2"/>
    <x v="1"/>
    <n v="480967"/>
  </r>
  <r>
    <s v="CAND100780"/>
    <s v="Sneha"/>
    <s v="Kapoor"/>
    <x v="1"/>
    <n v="31"/>
    <x v="4"/>
    <x v="2"/>
    <x v="2"/>
    <x v="574"/>
    <d v="2022-06-03T00:00:00"/>
    <m/>
    <x v="2"/>
    <n v="7"/>
    <x v="2"/>
    <n v="402292"/>
  </r>
  <r>
    <s v="CAND100781"/>
    <s v="Ankit"/>
    <s v="Verma"/>
    <x v="0"/>
    <n v="42"/>
    <x v="4"/>
    <x v="0"/>
    <x v="2"/>
    <x v="236"/>
    <d v="2023-07-19T00:00:00"/>
    <m/>
    <x v="0"/>
    <n v="10"/>
    <x v="2"/>
    <n v="711895"/>
  </r>
  <r>
    <s v="CAND100782"/>
    <s v="Rohit"/>
    <s v="Joshi"/>
    <x v="0"/>
    <n v="39"/>
    <x v="1"/>
    <x v="0"/>
    <x v="0"/>
    <x v="575"/>
    <d v="2023-12-05T00:00:00"/>
    <m/>
    <x v="4"/>
    <n v="9"/>
    <x v="1"/>
    <n v="542602"/>
  </r>
  <r>
    <s v="CAND100783"/>
    <s v="Rohit"/>
    <s v="Iyer"/>
    <x v="0"/>
    <n v="24"/>
    <x v="3"/>
    <x v="3"/>
    <x v="1"/>
    <x v="576"/>
    <d v="2021-07-07T00:00:00"/>
    <d v="2021-07-14T00:00:00"/>
    <x v="3"/>
    <n v="5"/>
    <x v="0"/>
    <n v="787728"/>
  </r>
  <r>
    <s v="CAND100784"/>
    <s v="Ankit"/>
    <s v="Mehta"/>
    <x v="0"/>
    <n v="24"/>
    <x v="0"/>
    <x v="2"/>
    <x v="3"/>
    <x v="577"/>
    <d v="2021-09-25T00:00:00"/>
    <d v="2021-09-30T00:00:00"/>
    <x v="3"/>
    <n v="8"/>
    <x v="2"/>
    <n v="815386"/>
  </r>
  <r>
    <s v="CAND100785"/>
    <s v="Sneha"/>
    <s v="Joshi"/>
    <x v="1"/>
    <n v="24"/>
    <x v="1"/>
    <x v="1"/>
    <x v="1"/>
    <x v="578"/>
    <d v="2021-11-01T00:00:00"/>
    <d v="2021-11-06T00:00:00"/>
    <x v="1"/>
    <n v="6"/>
    <x v="0"/>
    <n v="1046234"/>
  </r>
  <r>
    <s v="CAND100786"/>
    <s v="Ankit"/>
    <s v="Reddy"/>
    <x v="1"/>
    <n v="23"/>
    <x v="4"/>
    <x v="3"/>
    <x v="0"/>
    <x v="221"/>
    <d v="2023-02-26T00:00:00"/>
    <m/>
    <x v="3"/>
    <n v="8"/>
    <x v="2"/>
    <n v="370185"/>
  </r>
  <r>
    <s v="CAND100787"/>
    <s v="Karan"/>
    <s v="Verma"/>
    <x v="1"/>
    <n v="44"/>
    <x v="4"/>
    <x v="2"/>
    <x v="2"/>
    <x v="561"/>
    <d v="2022-05-27T00:00:00"/>
    <m/>
    <x v="1"/>
    <n v="8"/>
    <x v="3"/>
    <n v="1078721"/>
  </r>
  <r>
    <s v="CAND100788"/>
    <s v="Sneha"/>
    <s v="Kapoor"/>
    <x v="1"/>
    <n v="28"/>
    <x v="5"/>
    <x v="3"/>
    <x v="0"/>
    <x v="369"/>
    <d v="2021-07-07T00:00:00"/>
    <d v="2021-07-14T00:00:00"/>
    <x v="4"/>
    <n v="6"/>
    <x v="3"/>
    <n v="1110453"/>
  </r>
  <r>
    <s v="CAND100789"/>
    <s v="Karan"/>
    <s v="Sharma"/>
    <x v="1"/>
    <n v="27"/>
    <x v="2"/>
    <x v="4"/>
    <x v="4"/>
    <x v="579"/>
    <d v="2024-04-11T00:00:00"/>
    <d v="2024-04-13T00:00:00"/>
    <x v="4"/>
    <n v="7"/>
    <x v="2"/>
    <n v="475812"/>
  </r>
  <r>
    <s v="CAND100790"/>
    <s v="Sneha"/>
    <s v="Joshi"/>
    <x v="1"/>
    <n v="43"/>
    <x v="3"/>
    <x v="3"/>
    <x v="3"/>
    <x v="315"/>
    <d v="2024-01-28T00:00:00"/>
    <m/>
    <x v="0"/>
    <n v="8"/>
    <x v="1"/>
    <n v="482383"/>
  </r>
  <r>
    <s v="CAND100791"/>
    <s v="Karan"/>
    <s v="Patel"/>
    <x v="1"/>
    <n v="30"/>
    <x v="5"/>
    <x v="3"/>
    <x v="0"/>
    <x v="257"/>
    <d v="2024-03-11T00:00:00"/>
    <d v="2024-03-13T00:00:00"/>
    <x v="2"/>
    <n v="4"/>
    <x v="3"/>
    <n v="1069709"/>
  </r>
  <r>
    <s v="CAND100792"/>
    <s v="Neha"/>
    <s v="Sharma"/>
    <x v="1"/>
    <n v="40"/>
    <x v="5"/>
    <x v="2"/>
    <x v="1"/>
    <x v="580"/>
    <d v="2022-09-08T00:00:00"/>
    <m/>
    <x v="4"/>
    <n v="6"/>
    <x v="2"/>
    <n v="591499"/>
  </r>
  <r>
    <s v="CAND100793"/>
    <s v="Vikas"/>
    <s v="Mehta"/>
    <x v="1"/>
    <n v="25"/>
    <x v="3"/>
    <x v="2"/>
    <x v="3"/>
    <x v="581"/>
    <d v="2021-06-26T00:00:00"/>
    <m/>
    <x v="4"/>
    <n v="8"/>
    <x v="2"/>
    <n v="575079"/>
  </r>
  <r>
    <s v="CAND100794"/>
    <s v="Priya"/>
    <s v="Sharma"/>
    <x v="0"/>
    <n v="31"/>
    <x v="3"/>
    <x v="3"/>
    <x v="1"/>
    <x v="515"/>
    <d v="2022-10-25T00:00:00"/>
    <d v="2022-10-31T00:00:00"/>
    <x v="1"/>
    <n v="5"/>
    <x v="0"/>
    <n v="1055645"/>
  </r>
  <r>
    <s v="CAND100795"/>
    <s v="Ankit"/>
    <s v="Verma"/>
    <x v="1"/>
    <n v="38"/>
    <x v="2"/>
    <x v="4"/>
    <x v="3"/>
    <x v="23"/>
    <d v="2022-04-30T00:00:00"/>
    <d v="2022-05-07T00:00:00"/>
    <x v="4"/>
    <n v="10"/>
    <x v="0"/>
    <n v="544400"/>
  </r>
  <r>
    <s v="CAND100796"/>
    <s v="Neha"/>
    <s v="Iyer"/>
    <x v="1"/>
    <n v="28"/>
    <x v="4"/>
    <x v="2"/>
    <x v="4"/>
    <x v="582"/>
    <d v="2024-04-02T00:00:00"/>
    <m/>
    <x v="2"/>
    <n v="10"/>
    <x v="1"/>
    <n v="774260"/>
  </r>
  <r>
    <s v="CAND100797"/>
    <s v="Priya"/>
    <s v="Reddy"/>
    <x v="0"/>
    <n v="26"/>
    <x v="0"/>
    <x v="1"/>
    <x v="2"/>
    <x v="184"/>
    <d v="2022-12-19T00:00:00"/>
    <d v="2022-12-25T00:00:00"/>
    <x v="3"/>
    <n v="7"/>
    <x v="1"/>
    <n v="1032282"/>
  </r>
  <r>
    <s v="CAND100798"/>
    <s v="Rohit"/>
    <s v="Iyer"/>
    <x v="0"/>
    <n v="24"/>
    <x v="1"/>
    <x v="4"/>
    <x v="3"/>
    <x v="583"/>
    <d v="2022-03-02T00:00:00"/>
    <m/>
    <x v="2"/>
    <n v="5"/>
    <x v="3"/>
    <n v="1107575"/>
  </r>
  <r>
    <s v="CAND100799"/>
    <s v="Pooja"/>
    <s v="Verma"/>
    <x v="0"/>
    <n v="30"/>
    <x v="3"/>
    <x v="3"/>
    <x v="2"/>
    <x v="584"/>
    <d v="2021-11-29T00:00:00"/>
    <m/>
    <x v="0"/>
    <n v="6"/>
    <x v="0"/>
    <n v="370717"/>
  </r>
  <r>
    <s v="CAND100800"/>
    <s v="Vikas"/>
    <s v="Gupta"/>
    <x v="1"/>
    <n v="29"/>
    <x v="0"/>
    <x v="3"/>
    <x v="4"/>
    <x v="585"/>
    <d v="2022-11-03T00:00:00"/>
    <d v="2022-11-05T00:00:00"/>
    <x v="1"/>
    <n v="4"/>
    <x v="3"/>
    <n v="644646"/>
  </r>
  <r>
    <s v="CAND100801"/>
    <s v="Amit"/>
    <s v="Iyer"/>
    <x v="1"/>
    <n v="29"/>
    <x v="4"/>
    <x v="0"/>
    <x v="3"/>
    <x v="586"/>
    <d v="2022-04-12T00:00:00"/>
    <m/>
    <x v="0"/>
    <n v="9"/>
    <x v="3"/>
    <n v="459316"/>
  </r>
  <r>
    <s v="CAND100802"/>
    <s v="Neha"/>
    <s v="Iyer"/>
    <x v="0"/>
    <n v="39"/>
    <x v="0"/>
    <x v="3"/>
    <x v="4"/>
    <x v="562"/>
    <d v="2021-11-10T00:00:00"/>
    <m/>
    <x v="1"/>
    <n v="5"/>
    <x v="0"/>
    <n v="778438"/>
  </r>
  <r>
    <s v="CAND100803"/>
    <s v="Amit"/>
    <s v="Gupta"/>
    <x v="0"/>
    <n v="29"/>
    <x v="3"/>
    <x v="1"/>
    <x v="2"/>
    <x v="587"/>
    <d v="2021-07-05T00:00:00"/>
    <m/>
    <x v="1"/>
    <n v="4"/>
    <x v="2"/>
    <n v="943224"/>
  </r>
  <r>
    <s v="CAND100804"/>
    <s v="Ankit"/>
    <s v="Kapoor"/>
    <x v="0"/>
    <n v="31"/>
    <x v="0"/>
    <x v="0"/>
    <x v="0"/>
    <x v="588"/>
    <d v="2022-04-14T00:00:00"/>
    <d v="2022-04-19T00:00:00"/>
    <x v="1"/>
    <n v="5"/>
    <x v="0"/>
    <n v="1157088"/>
  </r>
  <r>
    <s v="CAND100805"/>
    <s v="Amit"/>
    <s v="Kapoor"/>
    <x v="1"/>
    <n v="21"/>
    <x v="2"/>
    <x v="3"/>
    <x v="4"/>
    <x v="589"/>
    <d v="2023-01-12T00:00:00"/>
    <d v="2023-01-16T00:00:00"/>
    <x v="4"/>
    <n v="8"/>
    <x v="2"/>
    <n v="387000"/>
  </r>
  <r>
    <s v="CAND100806"/>
    <s v="Karan"/>
    <s v="Mehta"/>
    <x v="0"/>
    <n v="41"/>
    <x v="5"/>
    <x v="1"/>
    <x v="3"/>
    <x v="590"/>
    <d v="2024-04-22T00:00:00"/>
    <d v="2024-04-26T00:00:00"/>
    <x v="0"/>
    <n v="8"/>
    <x v="2"/>
    <n v="1095787"/>
  </r>
  <r>
    <s v="CAND100807"/>
    <s v="Rahul"/>
    <s v="Gupta"/>
    <x v="0"/>
    <n v="24"/>
    <x v="0"/>
    <x v="2"/>
    <x v="1"/>
    <x v="484"/>
    <d v="2023-09-17T00:00:00"/>
    <m/>
    <x v="2"/>
    <n v="10"/>
    <x v="0"/>
    <n v="897154"/>
  </r>
  <r>
    <s v="CAND100808"/>
    <s v="Amit"/>
    <s v="Patel"/>
    <x v="0"/>
    <n v="34"/>
    <x v="5"/>
    <x v="1"/>
    <x v="3"/>
    <x v="483"/>
    <d v="2022-11-29T00:00:00"/>
    <d v="2022-12-04T00:00:00"/>
    <x v="0"/>
    <n v="6"/>
    <x v="3"/>
    <n v="501883"/>
  </r>
  <r>
    <s v="CAND100809"/>
    <s v="Vikas"/>
    <s v="Reddy"/>
    <x v="0"/>
    <n v="45"/>
    <x v="3"/>
    <x v="2"/>
    <x v="0"/>
    <x v="412"/>
    <d v="2022-01-20T00:00:00"/>
    <d v="2022-01-24T00:00:00"/>
    <x v="0"/>
    <n v="2"/>
    <x v="2"/>
    <n v="750272"/>
  </r>
  <r>
    <s v="CAND100810"/>
    <s v="Pooja"/>
    <s v="Gupta"/>
    <x v="1"/>
    <n v="26"/>
    <x v="1"/>
    <x v="3"/>
    <x v="2"/>
    <x v="229"/>
    <d v="2022-12-21T00:00:00"/>
    <m/>
    <x v="1"/>
    <n v="9"/>
    <x v="0"/>
    <n v="310036"/>
  </r>
  <r>
    <s v="CAND100811"/>
    <s v="Neha"/>
    <s v="Gupta"/>
    <x v="0"/>
    <n v="32"/>
    <x v="3"/>
    <x v="2"/>
    <x v="2"/>
    <x v="591"/>
    <d v="2022-12-15T00:00:00"/>
    <m/>
    <x v="1"/>
    <n v="2"/>
    <x v="1"/>
    <n v="868504"/>
  </r>
  <r>
    <s v="CAND100812"/>
    <s v="Karan"/>
    <s v="Gupta"/>
    <x v="1"/>
    <n v="44"/>
    <x v="3"/>
    <x v="1"/>
    <x v="3"/>
    <x v="303"/>
    <d v="2023-07-08T00:00:00"/>
    <d v="2023-07-15T00:00:00"/>
    <x v="0"/>
    <n v="6"/>
    <x v="3"/>
    <n v="612083"/>
  </r>
  <r>
    <s v="CAND100813"/>
    <s v="Amit"/>
    <s v="Verma"/>
    <x v="0"/>
    <n v="36"/>
    <x v="4"/>
    <x v="1"/>
    <x v="1"/>
    <x v="592"/>
    <d v="2021-09-21T00:00:00"/>
    <m/>
    <x v="1"/>
    <n v="3"/>
    <x v="1"/>
    <n v="1169792"/>
  </r>
  <r>
    <s v="CAND100814"/>
    <s v="Priya"/>
    <s v="Kapoor"/>
    <x v="1"/>
    <n v="40"/>
    <x v="2"/>
    <x v="2"/>
    <x v="1"/>
    <x v="9"/>
    <d v="2021-10-03T00:00:00"/>
    <d v="2021-10-05T00:00:00"/>
    <x v="3"/>
    <n v="10"/>
    <x v="3"/>
    <n v="421016"/>
  </r>
  <r>
    <s v="CAND100815"/>
    <s v="Priya"/>
    <s v="Verma"/>
    <x v="1"/>
    <n v="34"/>
    <x v="5"/>
    <x v="0"/>
    <x v="2"/>
    <x v="210"/>
    <d v="2023-08-12T00:00:00"/>
    <m/>
    <x v="0"/>
    <n v="4"/>
    <x v="3"/>
    <n v="936911"/>
  </r>
  <r>
    <s v="CAND100816"/>
    <s v="Sneha"/>
    <s v="Patel"/>
    <x v="1"/>
    <n v="29"/>
    <x v="4"/>
    <x v="1"/>
    <x v="4"/>
    <x v="311"/>
    <d v="2023-05-28T00:00:00"/>
    <m/>
    <x v="0"/>
    <n v="7"/>
    <x v="1"/>
    <n v="625298"/>
  </r>
  <r>
    <s v="CAND100817"/>
    <s v="Sneha"/>
    <s v="Joshi"/>
    <x v="1"/>
    <n v="35"/>
    <x v="2"/>
    <x v="1"/>
    <x v="0"/>
    <x v="593"/>
    <d v="2021-03-29T00:00:00"/>
    <m/>
    <x v="4"/>
    <n v="10"/>
    <x v="1"/>
    <n v="581802"/>
  </r>
  <r>
    <s v="CAND100818"/>
    <s v="Pooja"/>
    <s v="Mehta"/>
    <x v="0"/>
    <n v="32"/>
    <x v="2"/>
    <x v="1"/>
    <x v="2"/>
    <x v="594"/>
    <d v="2022-11-14T00:00:00"/>
    <m/>
    <x v="1"/>
    <n v="2"/>
    <x v="0"/>
    <n v="605991"/>
  </r>
  <r>
    <s v="CAND100819"/>
    <s v="Sneha"/>
    <s v="Mehta"/>
    <x v="1"/>
    <n v="24"/>
    <x v="2"/>
    <x v="2"/>
    <x v="4"/>
    <x v="595"/>
    <d v="2022-08-28T00:00:00"/>
    <d v="2022-08-31T00:00:00"/>
    <x v="4"/>
    <n v="7"/>
    <x v="1"/>
    <n v="523152"/>
  </r>
  <r>
    <s v="CAND100820"/>
    <s v="Rahul"/>
    <s v="Kapoor"/>
    <x v="1"/>
    <n v="40"/>
    <x v="0"/>
    <x v="3"/>
    <x v="3"/>
    <x v="539"/>
    <d v="2021-08-24T00:00:00"/>
    <d v="2021-08-31T00:00:00"/>
    <x v="3"/>
    <n v="2"/>
    <x v="1"/>
    <n v="1063280"/>
  </r>
  <r>
    <s v="CAND100821"/>
    <s v="Karan"/>
    <s v="Gupta"/>
    <x v="1"/>
    <n v="26"/>
    <x v="0"/>
    <x v="4"/>
    <x v="2"/>
    <x v="227"/>
    <d v="2021-10-24T00:00:00"/>
    <d v="2021-10-28T00:00:00"/>
    <x v="3"/>
    <n v="6"/>
    <x v="3"/>
    <n v="1036670"/>
  </r>
  <r>
    <s v="CAND100822"/>
    <s v="Amit"/>
    <s v="Patel"/>
    <x v="0"/>
    <n v="31"/>
    <x v="5"/>
    <x v="0"/>
    <x v="4"/>
    <x v="596"/>
    <d v="2021-04-12T00:00:00"/>
    <d v="2021-04-17T00:00:00"/>
    <x v="4"/>
    <n v="10"/>
    <x v="3"/>
    <n v="684310"/>
  </r>
  <r>
    <s v="CAND100823"/>
    <s v="Vikas"/>
    <s v="Joshi"/>
    <x v="1"/>
    <n v="27"/>
    <x v="2"/>
    <x v="4"/>
    <x v="2"/>
    <x v="597"/>
    <d v="2021-04-10T00:00:00"/>
    <d v="2021-04-13T00:00:00"/>
    <x v="0"/>
    <n v="6"/>
    <x v="2"/>
    <n v="1101392"/>
  </r>
  <r>
    <s v="CAND100824"/>
    <s v="Ankit"/>
    <s v="Joshi"/>
    <x v="0"/>
    <n v="30"/>
    <x v="1"/>
    <x v="3"/>
    <x v="4"/>
    <x v="281"/>
    <d v="2021-09-11T00:00:00"/>
    <d v="2021-09-15T00:00:00"/>
    <x v="0"/>
    <n v="6"/>
    <x v="0"/>
    <n v="483200"/>
  </r>
  <r>
    <s v="CAND100825"/>
    <s v="Karan"/>
    <s v="Joshi"/>
    <x v="1"/>
    <n v="30"/>
    <x v="0"/>
    <x v="0"/>
    <x v="3"/>
    <x v="598"/>
    <d v="2022-11-10T00:00:00"/>
    <d v="2022-11-16T00:00:00"/>
    <x v="2"/>
    <n v="10"/>
    <x v="0"/>
    <n v="681676"/>
  </r>
  <r>
    <s v="CAND100826"/>
    <s v="Sneha"/>
    <s v="Patel"/>
    <x v="1"/>
    <n v="43"/>
    <x v="4"/>
    <x v="4"/>
    <x v="2"/>
    <x v="599"/>
    <d v="2021-06-07T00:00:00"/>
    <m/>
    <x v="0"/>
    <n v="9"/>
    <x v="3"/>
    <n v="549632"/>
  </r>
  <r>
    <s v="CAND100827"/>
    <s v="Pooja"/>
    <s v="Mehta"/>
    <x v="0"/>
    <n v="39"/>
    <x v="2"/>
    <x v="4"/>
    <x v="3"/>
    <x v="600"/>
    <d v="2022-08-07T00:00:00"/>
    <d v="2022-08-14T00:00:00"/>
    <x v="2"/>
    <n v="2"/>
    <x v="1"/>
    <n v="538705"/>
  </r>
  <r>
    <s v="CAND100828"/>
    <s v="Rohit"/>
    <s v="Kapoor"/>
    <x v="1"/>
    <n v="44"/>
    <x v="5"/>
    <x v="0"/>
    <x v="2"/>
    <x v="513"/>
    <d v="2023-10-11T00:00:00"/>
    <m/>
    <x v="0"/>
    <n v="10"/>
    <x v="2"/>
    <n v="803783"/>
  </r>
  <r>
    <s v="CAND100829"/>
    <s v="Priya"/>
    <s v="Sharma"/>
    <x v="0"/>
    <n v="35"/>
    <x v="0"/>
    <x v="1"/>
    <x v="1"/>
    <x v="601"/>
    <d v="2023-10-21T00:00:00"/>
    <d v="2023-10-27T00:00:00"/>
    <x v="0"/>
    <n v="4"/>
    <x v="0"/>
    <n v="445931"/>
  </r>
  <r>
    <s v="CAND100830"/>
    <s v="Rohit"/>
    <s v="Sharma"/>
    <x v="1"/>
    <n v="33"/>
    <x v="1"/>
    <x v="2"/>
    <x v="4"/>
    <x v="95"/>
    <d v="2021-07-23T00:00:00"/>
    <m/>
    <x v="4"/>
    <n v="6"/>
    <x v="1"/>
    <n v="1049733"/>
  </r>
  <r>
    <s v="CAND100831"/>
    <s v="Pooja"/>
    <s v="Sharma"/>
    <x v="0"/>
    <n v="45"/>
    <x v="3"/>
    <x v="1"/>
    <x v="3"/>
    <x v="602"/>
    <d v="2021-04-28T00:00:00"/>
    <m/>
    <x v="0"/>
    <n v="8"/>
    <x v="0"/>
    <n v="654296"/>
  </r>
  <r>
    <s v="CAND100832"/>
    <s v="Priya"/>
    <s v="Joshi"/>
    <x v="0"/>
    <n v="21"/>
    <x v="3"/>
    <x v="3"/>
    <x v="4"/>
    <x v="357"/>
    <d v="2022-09-27T00:00:00"/>
    <m/>
    <x v="2"/>
    <n v="7"/>
    <x v="1"/>
    <n v="572350"/>
  </r>
  <r>
    <s v="CAND100833"/>
    <s v="Rohit"/>
    <s v="Mehta"/>
    <x v="1"/>
    <n v="35"/>
    <x v="2"/>
    <x v="0"/>
    <x v="3"/>
    <x v="87"/>
    <d v="2022-08-16T00:00:00"/>
    <m/>
    <x v="3"/>
    <n v="2"/>
    <x v="0"/>
    <n v="542634"/>
  </r>
  <r>
    <s v="CAND100834"/>
    <s v="Priya"/>
    <s v="Reddy"/>
    <x v="0"/>
    <n v="40"/>
    <x v="3"/>
    <x v="3"/>
    <x v="3"/>
    <x v="426"/>
    <d v="2022-06-01T00:00:00"/>
    <m/>
    <x v="3"/>
    <n v="9"/>
    <x v="1"/>
    <n v="1013126"/>
  </r>
  <r>
    <s v="CAND100835"/>
    <s v="Priya"/>
    <s v="Joshi"/>
    <x v="1"/>
    <n v="26"/>
    <x v="3"/>
    <x v="4"/>
    <x v="3"/>
    <x v="447"/>
    <d v="2021-08-01T00:00:00"/>
    <d v="2021-08-05T00:00:00"/>
    <x v="3"/>
    <n v="6"/>
    <x v="1"/>
    <n v="1015042"/>
  </r>
  <r>
    <s v="CAND100836"/>
    <s v="Rohit"/>
    <s v="Kapoor"/>
    <x v="0"/>
    <n v="25"/>
    <x v="1"/>
    <x v="4"/>
    <x v="1"/>
    <x v="603"/>
    <d v="2022-05-22T00:00:00"/>
    <m/>
    <x v="4"/>
    <n v="8"/>
    <x v="3"/>
    <n v="786705"/>
  </r>
  <r>
    <s v="CAND100837"/>
    <s v="Amit"/>
    <s v="Reddy"/>
    <x v="1"/>
    <n v="40"/>
    <x v="5"/>
    <x v="0"/>
    <x v="1"/>
    <x v="30"/>
    <d v="2022-10-29T00:00:00"/>
    <d v="2022-11-01T00:00:00"/>
    <x v="3"/>
    <n v="7"/>
    <x v="2"/>
    <n v="515663"/>
  </r>
  <r>
    <s v="CAND100838"/>
    <s v="Rahul"/>
    <s v="Gupta"/>
    <x v="0"/>
    <n v="34"/>
    <x v="1"/>
    <x v="2"/>
    <x v="1"/>
    <x v="528"/>
    <d v="2023-04-29T00:00:00"/>
    <m/>
    <x v="4"/>
    <n v="8"/>
    <x v="1"/>
    <n v="1129376"/>
  </r>
  <r>
    <s v="CAND100839"/>
    <s v="Karan"/>
    <s v="Joshi"/>
    <x v="1"/>
    <n v="32"/>
    <x v="5"/>
    <x v="0"/>
    <x v="1"/>
    <x v="604"/>
    <d v="2023-12-27T00:00:00"/>
    <m/>
    <x v="2"/>
    <n v="10"/>
    <x v="3"/>
    <n v="958744"/>
  </r>
  <r>
    <s v="CAND100840"/>
    <s v="Amit"/>
    <s v="Joshi"/>
    <x v="1"/>
    <n v="24"/>
    <x v="5"/>
    <x v="4"/>
    <x v="4"/>
    <x v="605"/>
    <d v="2021-08-27T00:00:00"/>
    <d v="2021-09-03T00:00:00"/>
    <x v="3"/>
    <n v="8"/>
    <x v="2"/>
    <n v="545614"/>
  </r>
  <r>
    <s v="CAND100841"/>
    <s v="Karan"/>
    <s v="Gupta"/>
    <x v="1"/>
    <n v="30"/>
    <x v="3"/>
    <x v="1"/>
    <x v="0"/>
    <x v="606"/>
    <d v="2021-02-25T00:00:00"/>
    <d v="2021-03-01T00:00:00"/>
    <x v="2"/>
    <n v="3"/>
    <x v="3"/>
    <n v="508351"/>
  </r>
  <r>
    <s v="CAND100842"/>
    <s v="Neha"/>
    <s v="Gupta"/>
    <x v="1"/>
    <n v="31"/>
    <x v="3"/>
    <x v="4"/>
    <x v="2"/>
    <x v="607"/>
    <d v="2023-10-13T00:00:00"/>
    <d v="2023-10-20T00:00:00"/>
    <x v="0"/>
    <n v="6"/>
    <x v="0"/>
    <n v="689530"/>
  </r>
  <r>
    <s v="CAND100843"/>
    <s v="Rahul"/>
    <s v="Patel"/>
    <x v="1"/>
    <n v="41"/>
    <x v="2"/>
    <x v="2"/>
    <x v="0"/>
    <x v="294"/>
    <d v="2021-01-22T00:00:00"/>
    <m/>
    <x v="1"/>
    <n v="8"/>
    <x v="3"/>
    <n v="636281"/>
  </r>
  <r>
    <s v="CAND100844"/>
    <s v="Amit"/>
    <s v="Patel"/>
    <x v="1"/>
    <n v="41"/>
    <x v="4"/>
    <x v="3"/>
    <x v="0"/>
    <x v="608"/>
    <d v="2023-11-25T00:00:00"/>
    <m/>
    <x v="3"/>
    <n v="3"/>
    <x v="3"/>
    <n v="1091674"/>
  </r>
  <r>
    <s v="CAND100845"/>
    <s v="Rohit"/>
    <s v="Patel"/>
    <x v="0"/>
    <n v="39"/>
    <x v="2"/>
    <x v="0"/>
    <x v="3"/>
    <x v="609"/>
    <d v="2023-01-02T00:00:00"/>
    <m/>
    <x v="3"/>
    <n v="7"/>
    <x v="0"/>
    <n v="345525"/>
  </r>
  <r>
    <s v="CAND100846"/>
    <s v="Priya"/>
    <s v="Sharma"/>
    <x v="1"/>
    <n v="27"/>
    <x v="0"/>
    <x v="2"/>
    <x v="2"/>
    <x v="194"/>
    <d v="2023-12-04T00:00:00"/>
    <d v="2023-12-11T00:00:00"/>
    <x v="2"/>
    <n v="5"/>
    <x v="0"/>
    <n v="503456"/>
  </r>
  <r>
    <s v="CAND100847"/>
    <s v="Karan"/>
    <s v="Patel"/>
    <x v="1"/>
    <n v="36"/>
    <x v="4"/>
    <x v="0"/>
    <x v="2"/>
    <x v="23"/>
    <d v="2022-04-20T00:00:00"/>
    <m/>
    <x v="3"/>
    <n v="9"/>
    <x v="2"/>
    <n v="929145"/>
  </r>
  <r>
    <s v="CAND100848"/>
    <s v="Rohit"/>
    <s v="Mehta"/>
    <x v="0"/>
    <n v="35"/>
    <x v="1"/>
    <x v="1"/>
    <x v="4"/>
    <x v="610"/>
    <d v="2021-06-16T00:00:00"/>
    <d v="2021-06-20T00:00:00"/>
    <x v="1"/>
    <n v="2"/>
    <x v="0"/>
    <n v="851784"/>
  </r>
  <r>
    <s v="CAND100849"/>
    <s v="Rahul"/>
    <s v="Patel"/>
    <x v="1"/>
    <n v="27"/>
    <x v="2"/>
    <x v="4"/>
    <x v="4"/>
    <x v="611"/>
    <d v="2022-12-24T00:00:00"/>
    <m/>
    <x v="2"/>
    <n v="3"/>
    <x v="2"/>
    <n v="1008803"/>
  </r>
  <r>
    <s v="CAND100850"/>
    <s v="Sneha"/>
    <s v="Mehta"/>
    <x v="0"/>
    <n v="44"/>
    <x v="4"/>
    <x v="4"/>
    <x v="0"/>
    <x v="296"/>
    <d v="2022-03-02T00:00:00"/>
    <m/>
    <x v="2"/>
    <n v="10"/>
    <x v="0"/>
    <n v="617084"/>
  </r>
  <r>
    <s v="CAND100851"/>
    <s v="Vikas"/>
    <s v="Sharma"/>
    <x v="0"/>
    <n v="25"/>
    <x v="1"/>
    <x v="4"/>
    <x v="2"/>
    <x v="612"/>
    <d v="2021-09-18T00:00:00"/>
    <d v="2021-09-20T00:00:00"/>
    <x v="2"/>
    <n v="3"/>
    <x v="0"/>
    <n v="479427"/>
  </r>
  <r>
    <s v="CAND100852"/>
    <s v="Pooja"/>
    <s v="Iyer"/>
    <x v="0"/>
    <n v="31"/>
    <x v="1"/>
    <x v="4"/>
    <x v="3"/>
    <x v="538"/>
    <d v="2023-04-24T00:00:00"/>
    <d v="2023-04-28T00:00:00"/>
    <x v="3"/>
    <n v="9"/>
    <x v="0"/>
    <n v="838578"/>
  </r>
  <r>
    <s v="CAND100853"/>
    <s v="Rohit"/>
    <s v="Patel"/>
    <x v="0"/>
    <n v="27"/>
    <x v="5"/>
    <x v="1"/>
    <x v="4"/>
    <x v="200"/>
    <d v="2021-09-28T00:00:00"/>
    <d v="2021-10-03T00:00:00"/>
    <x v="2"/>
    <n v="9"/>
    <x v="0"/>
    <n v="809585"/>
  </r>
  <r>
    <s v="CAND100854"/>
    <s v="Neha"/>
    <s v="Reddy"/>
    <x v="1"/>
    <n v="42"/>
    <x v="4"/>
    <x v="1"/>
    <x v="3"/>
    <x v="104"/>
    <d v="2022-05-08T00:00:00"/>
    <d v="2022-05-15T00:00:00"/>
    <x v="4"/>
    <n v="7"/>
    <x v="2"/>
    <n v="752348"/>
  </r>
  <r>
    <s v="CAND100855"/>
    <s v="Amit"/>
    <s v="Verma"/>
    <x v="1"/>
    <n v="29"/>
    <x v="4"/>
    <x v="1"/>
    <x v="3"/>
    <x v="130"/>
    <d v="2023-04-14T00:00:00"/>
    <d v="2023-04-20T00:00:00"/>
    <x v="0"/>
    <n v="3"/>
    <x v="0"/>
    <n v="919814"/>
  </r>
  <r>
    <s v="CAND100856"/>
    <s v="Amit"/>
    <s v="Patel"/>
    <x v="0"/>
    <n v="39"/>
    <x v="3"/>
    <x v="2"/>
    <x v="1"/>
    <x v="613"/>
    <d v="2022-04-02T00:00:00"/>
    <m/>
    <x v="3"/>
    <n v="4"/>
    <x v="0"/>
    <n v="596918"/>
  </r>
  <r>
    <s v="CAND100857"/>
    <s v="Rohit"/>
    <s v="Mehta"/>
    <x v="1"/>
    <n v="30"/>
    <x v="5"/>
    <x v="4"/>
    <x v="2"/>
    <x v="375"/>
    <d v="2024-03-11T00:00:00"/>
    <d v="2024-03-18T00:00:00"/>
    <x v="4"/>
    <n v="5"/>
    <x v="3"/>
    <n v="318007"/>
  </r>
  <r>
    <s v="CAND100858"/>
    <s v="Rohit"/>
    <s v="Verma"/>
    <x v="0"/>
    <n v="23"/>
    <x v="2"/>
    <x v="0"/>
    <x v="3"/>
    <x v="614"/>
    <d v="2023-01-11T00:00:00"/>
    <m/>
    <x v="3"/>
    <n v="5"/>
    <x v="2"/>
    <n v="1005581"/>
  </r>
  <r>
    <s v="CAND100859"/>
    <s v="Rohit"/>
    <s v="Patel"/>
    <x v="1"/>
    <n v="28"/>
    <x v="5"/>
    <x v="2"/>
    <x v="1"/>
    <x v="615"/>
    <d v="2021-02-20T00:00:00"/>
    <d v="2021-02-25T00:00:00"/>
    <x v="1"/>
    <n v="3"/>
    <x v="1"/>
    <n v="490363"/>
  </r>
  <r>
    <s v="CAND100860"/>
    <s v="Priya"/>
    <s v="Joshi"/>
    <x v="0"/>
    <n v="27"/>
    <x v="2"/>
    <x v="0"/>
    <x v="4"/>
    <x v="114"/>
    <d v="2022-11-10T00:00:00"/>
    <d v="2022-11-16T00:00:00"/>
    <x v="0"/>
    <n v="4"/>
    <x v="3"/>
    <n v="759090"/>
  </r>
  <r>
    <s v="CAND100861"/>
    <s v="Neha"/>
    <s v="Joshi"/>
    <x v="0"/>
    <n v="30"/>
    <x v="2"/>
    <x v="2"/>
    <x v="4"/>
    <x v="217"/>
    <d v="2021-11-05T00:00:00"/>
    <d v="2021-11-09T00:00:00"/>
    <x v="3"/>
    <n v="2"/>
    <x v="3"/>
    <n v="684043"/>
  </r>
  <r>
    <s v="CAND100862"/>
    <s v="Sneha"/>
    <s v="Singh"/>
    <x v="0"/>
    <n v="33"/>
    <x v="2"/>
    <x v="4"/>
    <x v="1"/>
    <x v="115"/>
    <d v="2022-08-01T00:00:00"/>
    <m/>
    <x v="1"/>
    <n v="4"/>
    <x v="2"/>
    <n v="877390"/>
  </r>
  <r>
    <s v="CAND100863"/>
    <s v="Ankit"/>
    <s v="Singh"/>
    <x v="0"/>
    <n v="23"/>
    <x v="2"/>
    <x v="1"/>
    <x v="0"/>
    <x v="309"/>
    <d v="2024-04-11T00:00:00"/>
    <d v="2024-04-15T00:00:00"/>
    <x v="2"/>
    <n v="3"/>
    <x v="0"/>
    <n v="752505"/>
  </r>
  <r>
    <s v="CAND100864"/>
    <s v="Pooja"/>
    <s v="Singh"/>
    <x v="0"/>
    <n v="32"/>
    <x v="4"/>
    <x v="0"/>
    <x v="3"/>
    <x v="78"/>
    <d v="2021-10-21T00:00:00"/>
    <m/>
    <x v="2"/>
    <n v="9"/>
    <x v="3"/>
    <n v="1030682"/>
  </r>
  <r>
    <s v="CAND100865"/>
    <s v="Pooja"/>
    <s v="Mehta"/>
    <x v="1"/>
    <n v="28"/>
    <x v="3"/>
    <x v="4"/>
    <x v="3"/>
    <x v="315"/>
    <d v="2024-01-28T00:00:00"/>
    <d v="2024-02-02T00:00:00"/>
    <x v="1"/>
    <n v="5"/>
    <x v="3"/>
    <n v="786500"/>
  </r>
  <r>
    <s v="CAND100866"/>
    <s v="Priya"/>
    <s v="Gupta"/>
    <x v="0"/>
    <n v="41"/>
    <x v="5"/>
    <x v="4"/>
    <x v="3"/>
    <x v="428"/>
    <d v="2023-09-16T00:00:00"/>
    <m/>
    <x v="1"/>
    <n v="8"/>
    <x v="0"/>
    <n v="1034650"/>
  </r>
  <r>
    <s v="CAND100867"/>
    <s v="Rahul"/>
    <s v="Singh"/>
    <x v="1"/>
    <n v="32"/>
    <x v="3"/>
    <x v="0"/>
    <x v="0"/>
    <x v="616"/>
    <d v="2022-05-27T00:00:00"/>
    <m/>
    <x v="4"/>
    <n v="9"/>
    <x v="1"/>
    <n v="530361"/>
  </r>
  <r>
    <s v="CAND100868"/>
    <s v="Priya"/>
    <s v="Mehta"/>
    <x v="1"/>
    <n v="32"/>
    <x v="3"/>
    <x v="4"/>
    <x v="1"/>
    <x v="617"/>
    <d v="2023-12-12T00:00:00"/>
    <m/>
    <x v="1"/>
    <n v="4"/>
    <x v="3"/>
    <n v="346109"/>
  </r>
  <r>
    <s v="CAND100869"/>
    <s v="Sneha"/>
    <s v="Mehta"/>
    <x v="1"/>
    <n v="35"/>
    <x v="3"/>
    <x v="3"/>
    <x v="4"/>
    <x v="618"/>
    <d v="2024-01-29T00:00:00"/>
    <d v="2024-02-02T00:00:00"/>
    <x v="2"/>
    <n v="7"/>
    <x v="1"/>
    <n v="878912"/>
  </r>
  <r>
    <s v="CAND100870"/>
    <s v="Priya"/>
    <s v="Verma"/>
    <x v="1"/>
    <n v="22"/>
    <x v="4"/>
    <x v="2"/>
    <x v="0"/>
    <x v="619"/>
    <d v="2022-09-20T00:00:00"/>
    <d v="2022-09-22T00:00:00"/>
    <x v="0"/>
    <n v="6"/>
    <x v="2"/>
    <n v="536581"/>
  </r>
  <r>
    <s v="CAND100871"/>
    <s v="Vikas"/>
    <s v="Kapoor"/>
    <x v="1"/>
    <n v="45"/>
    <x v="3"/>
    <x v="1"/>
    <x v="4"/>
    <x v="620"/>
    <d v="2022-07-16T00:00:00"/>
    <m/>
    <x v="3"/>
    <n v="5"/>
    <x v="0"/>
    <n v="640884"/>
  </r>
  <r>
    <s v="CAND100872"/>
    <s v="Amit"/>
    <s v="Joshi"/>
    <x v="0"/>
    <n v="22"/>
    <x v="3"/>
    <x v="4"/>
    <x v="0"/>
    <x v="621"/>
    <d v="2024-03-09T00:00:00"/>
    <m/>
    <x v="4"/>
    <n v="4"/>
    <x v="1"/>
    <n v="1021400"/>
  </r>
  <r>
    <s v="CAND100873"/>
    <s v="Ankit"/>
    <s v="Singh"/>
    <x v="1"/>
    <n v="41"/>
    <x v="1"/>
    <x v="0"/>
    <x v="4"/>
    <x v="13"/>
    <d v="2022-11-19T00:00:00"/>
    <d v="2022-11-26T00:00:00"/>
    <x v="1"/>
    <n v="9"/>
    <x v="0"/>
    <n v="782323"/>
  </r>
  <r>
    <s v="CAND100874"/>
    <s v="Rohit"/>
    <s v="Verma"/>
    <x v="1"/>
    <n v="26"/>
    <x v="0"/>
    <x v="3"/>
    <x v="1"/>
    <x v="196"/>
    <d v="2023-02-14T00:00:00"/>
    <m/>
    <x v="2"/>
    <n v="7"/>
    <x v="3"/>
    <n v="826497"/>
  </r>
  <r>
    <s v="CAND100875"/>
    <s v="Sneha"/>
    <s v="Reddy"/>
    <x v="1"/>
    <n v="26"/>
    <x v="2"/>
    <x v="4"/>
    <x v="3"/>
    <x v="173"/>
    <d v="2023-08-02T00:00:00"/>
    <d v="2023-08-07T00:00:00"/>
    <x v="0"/>
    <n v="6"/>
    <x v="3"/>
    <n v="959463"/>
  </r>
  <r>
    <s v="CAND100876"/>
    <s v="Priya"/>
    <s v="Kapoor"/>
    <x v="1"/>
    <n v="30"/>
    <x v="0"/>
    <x v="3"/>
    <x v="2"/>
    <x v="364"/>
    <d v="2022-04-22T00:00:00"/>
    <d v="2022-04-28T00:00:00"/>
    <x v="2"/>
    <n v="5"/>
    <x v="0"/>
    <n v="306725"/>
  </r>
  <r>
    <s v="CAND100877"/>
    <s v="Pooja"/>
    <s v="Sharma"/>
    <x v="1"/>
    <n v="33"/>
    <x v="2"/>
    <x v="4"/>
    <x v="3"/>
    <x v="622"/>
    <d v="2021-01-16T00:00:00"/>
    <d v="2021-01-21T00:00:00"/>
    <x v="0"/>
    <n v="10"/>
    <x v="2"/>
    <n v="1055932"/>
  </r>
  <r>
    <s v="CAND100878"/>
    <s v="Vikas"/>
    <s v="Sharma"/>
    <x v="0"/>
    <n v="39"/>
    <x v="1"/>
    <x v="4"/>
    <x v="4"/>
    <x v="564"/>
    <d v="2024-01-10T00:00:00"/>
    <m/>
    <x v="2"/>
    <n v="3"/>
    <x v="0"/>
    <n v="693390"/>
  </r>
  <r>
    <s v="CAND100879"/>
    <s v="Rohit"/>
    <s v="Patel"/>
    <x v="0"/>
    <n v="37"/>
    <x v="3"/>
    <x v="3"/>
    <x v="3"/>
    <x v="623"/>
    <d v="2022-12-20T00:00:00"/>
    <d v="2022-12-23T00:00:00"/>
    <x v="2"/>
    <n v="6"/>
    <x v="1"/>
    <n v="407218"/>
  </r>
  <r>
    <s v="CAND100880"/>
    <s v="Ankit"/>
    <s v="Kapoor"/>
    <x v="1"/>
    <n v="21"/>
    <x v="5"/>
    <x v="3"/>
    <x v="0"/>
    <x v="624"/>
    <d v="2023-10-16T00:00:00"/>
    <m/>
    <x v="3"/>
    <n v="8"/>
    <x v="0"/>
    <n v="983172"/>
  </r>
  <r>
    <s v="CAND100881"/>
    <s v="Pooja"/>
    <s v="Gupta"/>
    <x v="0"/>
    <n v="35"/>
    <x v="2"/>
    <x v="3"/>
    <x v="4"/>
    <x v="342"/>
    <d v="2021-10-21T00:00:00"/>
    <d v="2021-10-23T00:00:00"/>
    <x v="3"/>
    <n v="9"/>
    <x v="2"/>
    <n v="958063"/>
  </r>
  <r>
    <s v="CAND100882"/>
    <s v="Priya"/>
    <s v="Verma"/>
    <x v="1"/>
    <n v="24"/>
    <x v="4"/>
    <x v="0"/>
    <x v="0"/>
    <x v="446"/>
    <d v="2022-01-06T00:00:00"/>
    <d v="2022-01-09T00:00:00"/>
    <x v="4"/>
    <n v="2"/>
    <x v="1"/>
    <n v="962294"/>
  </r>
  <r>
    <s v="CAND100883"/>
    <s v="Neha"/>
    <s v="Iyer"/>
    <x v="0"/>
    <n v="35"/>
    <x v="1"/>
    <x v="2"/>
    <x v="0"/>
    <x v="187"/>
    <d v="2022-08-18T00:00:00"/>
    <m/>
    <x v="3"/>
    <n v="10"/>
    <x v="2"/>
    <n v="323600"/>
  </r>
  <r>
    <s v="CAND100884"/>
    <s v="Pooja"/>
    <s v="Mehta"/>
    <x v="1"/>
    <n v="24"/>
    <x v="0"/>
    <x v="1"/>
    <x v="2"/>
    <x v="625"/>
    <d v="2024-01-26T00:00:00"/>
    <d v="2024-02-01T00:00:00"/>
    <x v="0"/>
    <n v="3"/>
    <x v="3"/>
    <n v="837959"/>
  </r>
  <r>
    <s v="CAND100885"/>
    <s v="Amit"/>
    <s v="Iyer"/>
    <x v="1"/>
    <n v="39"/>
    <x v="5"/>
    <x v="2"/>
    <x v="1"/>
    <x v="626"/>
    <d v="2023-09-24T00:00:00"/>
    <m/>
    <x v="0"/>
    <n v="5"/>
    <x v="3"/>
    <n v="938006"/>
  </r>
  <r>
    <s v="CAND100886"/>
    <s v="Sneha"/>
    <s v="Verma"/>
    <x v="0"/>
    <n v="34"/>
    <x v="1"/>
    <x v="0"/>
    <x v="1"/>
    <x v="627"/>
    <d v="2023-09-21T00:00:00"/>
    <d v="2023-09-23T00:00:00"/>
    <x v="2"/>
    <n v="2"/>
    <x v="0"/>
    <n v="701182"/>
  </r>
  <r>
    <s v="CAND100887"/>
    <s v="Vikas"/>
    <s v="Verma"/>
    <x v="1"/>
    <n v="25"/>
    <x v="5"/>
    <x v="3"/>
    <x v="1"/>
    <x v="615"/>
    <d v="2021-02-20T00:00:00"/>
    <m/>
    <x v="1"/>
    <n v="2"/>
    <x v="2"/>
    <n v="617305"/>
  </r>
  <r>
    <s v="CAND100888"/>
    <s v="Pooja"/>
    <s v="Sharma"/>
    <x v="1"/>
    <n v="29"/>
    <x v="5"/>
    <x v="3"/>
    <x v="1"/>
    <x v="530"/>
    <d v="2024-01-15T00:00:00"/>
    <m/>
    <x v="3"/>
    <n v="9"/>
    <x v="3"/>
    <n v="620170"/>
  </r>
  <r>
    <s v="CAND100889"/>
    <s v="Pooja"/>
    <s v="Verma"/>
    <x v="0"/>
    <n v="26"/>
    <x v="0"/>
    <x v="4"/>
    <x v="2"/>
    <x v="369"/>
    <d v="2021-07-13T00:00:00"/>
    <d v="2021-07-20T00:00:00"/>
    <x v="4"/>
    <n v="4"/>
    <x v="1"/>
    <n v="777890"/>
  </r>
  <r>
    <s v="CAND100890"/>
    <s v="Karan"/>
    <s v="Iyer"/>
    <x v="0"/>
    <n v="30"/>
    <x v="5"/>
    <x v="4"/>
    <x v="4"/>
    <x v="370"/>
    <d v="2023-10-09T00:00:00"/>
    <m/>
    <x v="0"/>
    <n v="9"/>
    <x v="2"/>
    <n v="855363"/>
  </r>
  <r>
    <s v="CAND100891"/>
    <s v="Rahul"/>
    <s v="Iyer"/>
    <x v="1"/>
    <n v="24"/>
    <x v="3"/>
    <x v="1"/>
    <x v="2"/>
    <x v="40"/>
    <d v="2022-11-04T00:00:00"/>
    <m/>
    <x v="3"/>
    <n v="3"/>
    <x v="2"/>
    <n v="839058"/>
  </r>
  <r>
    <s v="CAND100892"/>
    <s v="Priya"/>
    <s v="Patel"/>
    <x v="1"/>
    <n v="33"/>
    <x v="0"/>
    <x v="2"/>
    <x v="2"/>
    <x v="628"/>
    <d v="2023-05-14T00:00:00"/>
    <d v="2023-05-16T00:00:00"/>
    <x v="3"/>
    <n v="4"/>
    <x v="1"/>
    <n v="451808"/>
  </r>
  <r>
    <s v="CAND100893"/>
    <s v="Amit"/>
    <s v="Mehta"/>
    <x v="0"/>
    <n v="45"/>
    <x v="1"/>
    <x v="2"/>
    <x v="2"/>
    <x v="629"/>
    <d v="2023-03-15T00:00:00"/>
    <d v="2023-03-18T00:00:00"/>
    <x v="3"/>
    <n v="3"/>
    <x v="0"/>
    <n v="799284"/>
  </r>
  <r>
    <s v="CAND100894"/>
    <s v="Karan"/>
    <s v="Verma"/>
    <x v="0"/>
    <n v="32"/>
    <x v="0"/>
    <x v="1"/>
    <x v="0"/>
    <x v="630"/>
    <d v="2023-08-06T00:00:00"/>
    <m/>
    <x v="1"/>
    <n v="3"/>
    <x v="2"/>
    <n v="632922"/>
  </r>
  <r>
    <s v="CAND100895"/>
    <s v="Vikas"/>
    <s v="Patel"/>
    <x v="0"/>
    <n v="39"/>
    <x v="0"/>
    <x v="1"/>
    <x v="1"/>
    <x v="229"/>
    <d v="2022-12-23T00:00:00"/>
    <m/>
    <x v="1"/>
    <n v="4"/>
    <x v="3"/>
    <n v="763773"/>
  </r>
  <r>
    <s v="CAND100896"/>
    <s v="Pooja"/>
    <s v="Sharma"/>
    <x v="0"/>
    <n v="26"/>
    <x v="4"/>
    <x v="4"/>
    <x v="2"/>
    <x v="344"/>
    <d v="2021-04-18T00:00:00"/>
    <d v="2021-04-21T00:00:00"/>
    <x v="2"/>
    <n v="8"/>
    <x v="1"/>
    <n v="494683"/>
  </r>
  <r>
    <s v="CAND100897"/>
    <s v="Karan"/>
    <s v="Gupta"/>
    <x v="0"/>
    <n v="40"/>
    <x v="5"/>
    <x v="0"/>
    <x v="0"/>
    <x v="631"/>
    <d v="2024-01-30T00:00:00"/>
    <m/>
    <x v="3"/>
    <n v="8"/>
    <x v="1"/>
    <n v="1081125"/>
  </r>
  <r>
    <s v="CAND100898"/>
    <s v="Ankit"/>
    <s v="Singh"/>
    <x v="0"/>
    <n v="43"/>
    <x v="5"/>
    <x v="1"/>
    <x v="2"/>
    <x v="366"/>
    <d v="2022-07-26T00:00:00"/>
    <d v="2022-08-01T00:00:00"/>
    <x v="3"/>
    <n v="6"/>
    <x v="2"/>
    <n v="1108496"/>
  </r>
  <r>
    <s v="CAND100899"/>
    <s v="Pooja"/>
    <s v="Mehta"/>
    <x v="1"/>
    <n v="31"/>
    <x v="3"/>
    <x v="1"/>
    <x v="3"/>
    <x v="632"/>
    <d v="2023-12-22T00:00:00"/>
    <m/>
    <x v="3"/>
    <n v="3"/>
    <x v="0"/>
    <n v="403527"/>
  </r>
  <r>
    <s v="CAND100900"/>
    <s v="Ankit"/>
    <s v="Patel"/>
    <x v="1"/>
    <n v="33"/>
    <x v="4"/>
    <x v="0"/>
    <x v="2"/>
    <x v="633"/>
    <d v="2022-01-20T00:00:00"/>
    <d v="2022-01-23T00:00:00"/>
    <x v="4"/>
    <n v="2"/>
    <x v="2"/>
    <n v="392132"/>
  </r>
  <r>
    <s v="CAND100901"/>
    <s v="Pooja"/>
    <s v="Kapoor"/>
    <x v="0"/>
    <n v="45"/>
    <x v="2"/>
    <x v="2"/>
    <x v="2"/>
    <x v="634"/>
    <d v="2021-12-07T00:00:00"/>
    <d v="2021-12-11T00:00:00"/>
    <x v="2"/>
    <n v="3"/>
    <x v="3"/>
    <n v="405160"/>
  </r>
  <r>
    <s v="CAND100902"/>
    <s v="Ankit"/>
    <s v="Iyer"/>
    <x v="0"/>
    <n v="43"/>
    <x v="3"/>
    <x v="0"/>
    <x v="0"/>
    <x v="185"/>
    <d v="2021-06-10T00:00:00"/>
    <d v="2021-06-15T00:00:00"/>
    <x v="2"/>
    <n v="2"/>
    <x v="3"/>
    <n v="963409"/>
  </r>
  <r>
    <s v="CAND100903"/>
    <s v="Amit"/>
    <s v="Sharma"/>
    <x v="0"/>
    <n v="38"/>
    <x v="2"/>
    <x v="3"/>
    <x v="4"/>
    <x v="2"/>
    <d v="2022-07-08T00:00:00"/>
    <d v="2022-07-15T00:00:00"/>
    <x v="3"/>
    <n v="2"/>
    <x v="2"/>
    <n v="1001494"/>
  </r>
  <r>
    <s v="CAND100904"/>
    <s v="Vikas"/>
    <s v="Joshi"/>
    <x v="0"/>
    <n v="21"/>
    <x v="5"/>
    <x v="0"/>
    <x v="1"/>
    <x v="63"/>
    <d v="2021-09-12T00:00:00"/>
    <d v="2021-09-14T00:00:00"/>
    <x v="0"/>
    <n v="5"/>
    <x v="1"/>
    <n v="676805"/>
  </r>
  <r>
    <s v="CAND100905"/>
    <s v="Neha"/>
    <s v="Reddy"/>
    <x v="0"/>
    <n v="40"/>
    <x v="1"/>
    <x v="2"/>
    <x v="2"/>
    <x v="635"/>
    <d v="2023-05-12T00:00:00"/>
    <m/>
    <x v="1"/>
    <n v="3"/>
    <x v="0"/>
    <n v="312867"/>
  </r>
  <r>
    <s v="CAND100906"/>
    <s v="Amit"/>
    <s v="Mehta"/>
    <x v="0"/>
    <n v="37"/>
    <x v="1"/>
    <x v="4"/>
    <x v="2"/>
    <x v="23"/>
    <d v="2022-04-25T00:00:00"/>
    <m/>
    <x v="1"/>
    <n v="7"/>
    <x v="1"/>
    <n v="875893"/>
  </r>
  <r>
    <s v="CAND100907"/>
    <s v="Rohit"/>
    <s v="Sharma"/>
    <x v="0"/>
    <n v="36"/>
    <x v="4"/>
    <x v="4"/>
    <x v="0"/>
    <x v="144"/>
    <d v="2023-04-23T00:00:00"/>
    <m/>
    <x v="3"/>
    <n v="3"/>
    <x v="1"/>
    <n v="958242"/>
  </r>
  <r>
    <s v="CAND100908"/>
    <s v="Karan"/>
    <s v="Sharma"/>
    <x v="1"/>
    <n v="39"/>
    <x v="3"/>
    <x v="3"/>
    <x v="2"/>
    <x v="636"/>
    <d v="2022-07-26T00:00:00"/>
    <m/>
    <x v="2"/>
    <n v="7"/>
    <x v="2"/>
    <n v="807321"/>
  </r>
  <r>
    <s v="CAND100909"/>
    <s v="Ankit"/>
    <s v="Joshi"/>
    <x v="1"/>
    <n v="44"/>
    <x v="5"/>
    <x v="3"/>
    <x v="0"/>
    <x v="145"/>
    <d v="2024-02-19T00:00:00"/>
    <d v="2024-02-23T00:00:00"/>
    <x v="0"/>
    <n v="7"/>
    <x v="3"/>
    <n v="552961"/>
  </r>
  <r>
    <s v="CAND100910"/>
    <s v="Karan"/>
    <s v="Verma"/>
    <x v="0"/>
    <n v="22"/>
    <x v="2"/>
    <x v="4"/>
    <x v="1"/>
    <x v="637"/>
    <d v="2021-05-14T00:00:00"/>
    <d v="2021-05-16T00:00:00"/>
    <x v="0"/>
    <n v="5"/>
    <x v="0"/>
    <n v="938486"/>
  </r>
  <r>
    <s v="CAND100911"/>
    <s v="Rahul"/>
    <s v="Reddy"/>
    <x v="0"/>
    <n v="40"/>
    <x v="3"/>
    <x v="1"/>
    <x v="2"/>
    <x v="638"/>
    <d v="2023-01-01T00:00:00"/>
    <d v="2023-01-06T00:00:00"/>
    <x v="3"/>
    <n v="7"/>
    <x v="1"/>
    <n v="968964"/>
  </r>
  <r>
    <s v="CAND100912"/>
    <s v="Neha"/>
    <s v="Sharma"/>
    <x v="1"/>
    <n v="44"/>
    <x v="3"/>
    <x v="2"/>
    <x v="1"/>
    <x v="626"/>
    <d v="2023-09-27T00:00:00"/>
    <m/>
    <x v="0"/>
    <n v="4"/>
    <x v="1"/>
    <n v="489749"/>
  </r>
  <r>
    <s v="CAND100913"/>
    <s v="Karan"/>
    <s v="Patel"/>
    <x v="1"/>
    <n v="34"/>
    <x v="0"/>
    <x v="4"/>
    <x v="0"/>
    <x v="639"/>
    <d v="2023-11-25T00:00:00"/>
    <m/>
    <x v="1"/>
    <n v="9"/>
    <x v="3"/>
    <n v="511053"/>
  </r>
  <r>
    <s v="CAND100914"/>
    <s v="Neha"/>
    <s v="Joshi"/>
    <x v="0"/>
    <n v="41"/>
    <x v="5"/>
    <x v="1"/>
    <x v="3"/>
    <x v="640"/>
    <d v="2024-03-20T00:00:00"/>
    <m/>
    <x v="0"/>
    <n v="9"/>
    <x v="3"/>
    <n v="894427"/>
  </r>
  <r>
    <s v="CAND100915"/>
    <s v="Neha"/>
    <s v="Kapoor"/>
    <x v="0"/>
    <n v="26"/>
    <x v="2"/>
    <x v="2"/>
    <x v="3"/>
    <x v="641"/>
    <d v="2021-01-14T00:00:00"/>
    <m/>
    <x v="1"/>
    <n v="7"/>
    <x v="1"/>
    <n v="1147138"/>
  </r>
  <r>
    <s v="CAND100916"/>
    <s v="Ankit"/>
    <s v="Sharma"/>
    <x v="1"/>
    <n v="22"/>
    <x v="0"/>
    <x v="0"/>
    <x v="3"/>
    <x v="628"/>
    <d v="2023-05-11T00:00:00"/>
    <d v="2023-05-14T00:00:00"/>
    <x v="2"/>
    <n v="3"/>
    <x v="3"/>
    <n v="907376"/>
  </r>
  <r>
    <s v="CAND100917"/>
    <s v="Karan"/>
    <s v="Kapoor"/>
    <x v="0"/>
    <n v="40"/>
    <x v="1"/>
    <x v="4"/>
    <x v="4"/>
    <x v="205"/>
    <d v="2024-01-30T00:00:00"/>
    <m/>
    <x v="2"/>
    <n v="9"/>
    <x v="1"/>
    <n v="535013"/>
  </r>
  <r>
    <s v="CAND100918"/>
    <s v="Rohit"/>
    <s v="Singh"/>
    <x v="1"/>
    <n v="22"/>
    <x v="1"/>
    <x v="3"/>
    <x v="2"/>
    <x v="196"/>
    <d v="2023-02-11T00:00:00"/>
    <d v="2023-02-15T00:00:00"/>
    <x v="2"/>
    <n v="6"/>
    <x v="0"/>
    <n v="802425"/>
  </r>
  <r>
    <s v="CAND100919"/>
    <s v="Priya"/>
    <s v="Mehta"/>
    <x v="1"/>
    <n v="42"/>
    <x v="0"/>
    <x v="1"/>
    <x v="0"/>
    <x v="642"/>
    <d v="2023-01-04T00:00:00"/>
    <m/>
    <x v="3"/>
    <n v="5"/>
    <x v="0"/>
    <n v="1134647"/>
  </r>
  <r>
    <s v="CAND100920"/>
    <s v="Vikas"/>
    <s v="Sharma"/>
    <x v="0"/>
    <n v="36"/>
    <x v="1"/>
    <x v="4"/>
    <x v="2"/>
    <x v="115"/>
    <d v="2022-07-29T00:00:00"/>
    <d v="2022-08-02T00:00:00"/>
    <x v="4"/>
    <n v="3"/>
    <x v="2"/>
    <n v="335285"/>
  </r>
  <r>
    <s v="CAND100921"/>
    <s v="Priya"/>
    <s v="Mehta"/>
    <x v="1"/>
    <n v="36"/>
    <x v="4"/>
    <x v="4"/>
    <x v="0"/>
    <x v="643"/>
    <d v="2023-01-07T00:00:00"/>
    <d v="2023-01-13T00:00:00"/>
    <x v="4"/>
    <n v="6"/>
    <x v="3"/>
    <n v="1028454"/>
  </r>
  <r>
    <s v="CAND100922"/>
    <s v="Sneha"/>
    <s v="Singh"/>
    <x v="1"/>
    <n v="28"/>
    <x v="1"/>
    <x v="3"/>
    <x v="1"/>
    <x v="596"/>
    <d v="2021-04-06T00:00:00"/>
    <m/>
    <x v="2"/>
    <n v="8"/>
    <x v="2"/>
    <n v="811595"/>
  </r>
  <r>
    <s v="CAND100923"/>
    <s v="Neha"/>
    <s v="Gupta"/>
    <x v="1"/>
    <n v="39"/>
    <x v="1"/>
    <x v="4"/>
    <x v="2"/>
    <x v="382"/>
    <d v="2021-12-05T00:00:00"/>
    <d v="2021-12-11T00:00:00"/>
    <x v="1"/>
    <n v="10"/>
    <x v="2"/>
    <n v="911696"/>
  </r>
  <r>
    <s v="CAND100924"/>
    <s v="Sneha"/>
    <s v="Mehta"/>
    <x v="0"/>
    <n v="38"/>
    <x v="3"/>
    <x v="1"/>
    <x v="1"/>
    <x v="644"/>
    <d v="2022-03-12T00:00:00"/>
    <d v="2022-03-18T00:00:00"/>
    <x v="3"/>
    <n v="8"/>
    <x v="1"/>
    <n v="785768"/>
  </r>
  <r>
    <s v="CAND100925"/>
    <s v="Rahul"/>
    <s v="Verma"/>
    <x v="1"/>
    <n v="23"/>
    <x v="5"/>
    <x v="1"/>
    <x v="0"/>
    <x v="645"/>
    <d v="2022-09-27T00:00:00"/>
    <m/>
    <x v="2"/>
    <n v="6"/>
    <x v="1"/>
    <n v="932519"/>
  </r>
  <r>
    <s v="CAND100926"/>
    <s v="Pooja"/>
    <s v="Kapoor"/>
    <x v="1"/>
    <n v="43"/>
    <x v="2"/>
    <x v="0"/>
    <x v="0"/>
    <x v="646"/>
    <d v="2023-10-14T00:00:00"/>
    <m/>
    <x v="2"/>
    <n v="9"/>
    <x v="3"/>
    <n v="543967"/>
  </r>
  <r>
    <s v="CAND100927"/>
    <s v="Neha"/>
    <s v="Iyer"/>
    <x v="1"/>
    <n v="39"/>
    <x v="1"/>
    <x v="2"/>
    <x v="0"/>
    <x v="240"/>
    <d v="2023-05-29T00:00:00"/>
    <d v="2023-06-05T00:00:00"/>
    <x v="2"/>
    <n v="3"/>
    <x v="0"/>
    <n v="1051980"/>
  </r>
  <r>
    <s v="CAND100928"/>
    <s v="Karan"/>
    <s v="Verma"/>
    <x v="1"/>
    <n v="35"/>
    <x v="5"/>
    <x v="4"/>
    <x v="1"/>
    <x v="622"/>
    <d v="2021-01-13T00:00:00"/>
    <d v="2021-01-17T00:00:00"/>
    <x v="4"/>
    <n v="9"/>
    <x v="2"/>
    <n v="1055514"/>
  </r>
  <r>
    <s v="CAND100929"/>
    <s v="Rohit"/>
    <s v="Verma"/>
    <x v="1"/>
    <n v="35"/>
    <x v="0"/>
    <x v="1"/>
    <x v="2"/>
    <x v="647"/>
    <d v="2023-02-07T00:00:00"/>
    <m/>
    <x v="3"/>
    <n v="4"/>
    <x v="3"/>
    <n v="687659"/>
  </r>
  <r>
    <s v="CAND100930"/>
    <s v="Neha"/>
    <s v="Joshi"/>
    <x v="0"/>
    <n v="25"/>
    <x v="0"/>
    <x v="3"/>
    <x v="0"/>
    <x v="360"/>
    <d v="2021-11-29T00:00:00"/>
    <d v="2021-12-05T00:00:00"/>
    <x v="3"/>
    <n v="10"/>
    <x v="0"/>
    <n v="477229"/>
  </r>
  <r>
    <s v="CAND100931"/>
    <s v="Sneha"/>
    <s v="Mehta"/>
    <x v="1"/>
    <n v="29"/>
    <x v="3"/>
    <x v="2"/>
    <x v="3"/>
    <x v="648"/>
    <d v="2021-04-07T00:00:00"/>
    <m/>
    <x v="3"/>
    <n v="7"/>
    <x v="0"/>
    <n v="459201"/>
  </r>
  <r>
    <s v="CAND100932"/>
    <s v="Neha"/>
    <s v="Gupta"/>
    <x v="0"/>
    <n v="45"/>
    <x v="2"/>
    <x v="1"/>
    <x v="1"/>
    <x v="139"/>
    <d v="2021-05-29T00:00:00"/>
    <d v="2021-06-02T00:00:00"/>
    <x v="1"/>
    <n v="7"/>
    <x v="0"/>
    <n v="623772"/>
  </r>
  <r>
    <s v="CAND100933"/>
    <s v="Amit"/>
    <s v="Verma"/>
    <x v="0"/>
    <n v="44"/>
    <x v="0"/>
    <x v="3"/>
    <x v="2"/>
    <x v="649"/>
    <d v="2022-09-08T00:00:00"/>
    <m/>
    <x v="0"/>
    <n v="10"/>
    <x v="3"/>
    <n v="952688"/>
  </r>
  <r>
    <s v="CAND100934"/>
    <s v="Vikas"/>
    <s v="Verma"/>
    <x v="0"/>
    <n v="32"/>
    <x v="0"/>
    <x v="4"/>
    <x v="3"/>
    <x v="650"/>
    <d v="2022-11-30T00:00:00"/>
    <m/>
    <x v="2"/>
    <n v="4"/>
    <x v="3"/>
    <n v="561848"/>
  </r>
  <r>
    <s v="CAND100935"/>
    <s v="Rohit"/>
    <s v="Joshi"/>
    <x v="0"/>
    <n v="40"/>
    <x v="2"/>
    <x v="4"/>
    <x v="2"/>
    <x v="651"/>
    <d v="2023-06-23T00:00:00"/>
    <d v="2023-06-29T00:00:00"/>
    <x v="0"/>
    <n v="2"/>
    <x v="0"/>
    <n v="1060323"/>
  </r>
  <r>
    <s v="CAND100936"/>
    <s v="Priya"/>
    <s v="Patel"/>
    <x v="1"/>
    <n v="37"/>
    <x v="3"/>
    <x v="4"/>
    <x v="2"/>
    <x v="219"/>
    <d v="2023-07-15T00:00:00"/>
    <m/>
    <x v="2"/>
    <n v="3"/>
    <x v="1"/>
    <n v="1121753"/>
  </r>
  <r>
    <s v="CAND100937"/>
    <s v="Neha"/>
    <s v="Iyer"/>
    <x v="1"/>
    <n v="25"/>
    <x v="4"/>
    <x v="0"/>
    <x v="2"/>
    <x v="652"/>
    <d v="2021-04-28T00:00:00"/>
    <m/>
    <x v="1"/>
    <n v="2"/>
    <x v="3"/>
    <n v="1091866"/>
  </r>
  <r>
    <s v="CAND100938"/>
    <s v="Rahul"/>
    <s v="Verma"/>
    <x v="1"/>
    <n v="45"/>
    <x v="5"/>
    <x v="1"/>
    <x v="4"/>
    <x v="653"/>
    <d v="2022-05-06T00:00:00"/>
    <m/>
    <x v="0"/>
    <n v="2"/>
    <x v="0"/>
    <n v="959155"/>
  </r>
  <r>
    <s v="CAND100939"/>
    <s v="Priya"/>
    <s v="Singh"/>
    <x v="1"/>
    <n v="45"/>
    <x v="1"/>
    <x v="4"/>
    <x v="4"/>
    <x v="185"/>
    <d v="2021-06-10T00:00:00"/>
    <d v="2021-06-15T00:00:00"/>
    <x v="2"/>
    <n v="3"/>
    <x v="1"/>
    <n v="323183"/>
  </r>
  <r>
    <s v="CAND100940"/>
    <s v="Rohit"/>
    <s v="Kapoor"/>
    <x v="0"/>
    <n v="39"/>
    <x v="2"/>
    <x v="1"/>
    <x v="0"/>
    <x v="441"/>
    <d v="2021-10-11T00:00:00"/>
    <d v="2021-10-18T00:00:00"/>
    <x v="4"/>
    <n v="7"/>
    <x v="3"/>
    <n v="779383"/>
  </r>
  <r>
    <s v="CAND100941"/>
    <s v="Karan"/>
    <s v="Singh"/>
    <x v="0"/>
    <n v="36"/>
    <x v="2"/>
    <x v="0"/>
    <x v="0"/>
    <x v="441"/>
    <d v="2021-10-08T00:00:00"/>
    <m/>
    <x v="3"/>
    <n v="3"/>
    <x v="3"/>
    <n v="537724"/>
  </r>
  <r>
    <s v="CAND100942"/>
    <s v="Sneha"/>
    <s v="Sharma"/>
    <x v="1"/>
    <n v="36"/>
    <x v="4"/>
    <x v="2"/>
    <x v="4"/>
    <x v="462"/>
    <d v="2023-12-11T00:00:00"/>
    <m/>
    <x v="1"/>
    <n v="4"/>
    <x v="0"/>
    <n v="318870"/>
  </r>
  <r>
    <s v="CAND100943"/>
    <s v="Karan"/>
    <s v="Gupta"/>
    <x v="0"/>
    <n v="28"/>
    <x v="2"/>
    <x v="0"/>
    <x v="4"/>
    <x v="654"/>
    <d v="2022-01-17T00:00:00"/>
    <m/>
    <x v="0"/>
    <n v="2"/>
    <x v="2"/>
    <n v="891297"/>
  </r>
  <r>
    <s v="CAND100944"/>
    <s v="Ankit"/>
    <s v="Singh"/>
    <x v="1"/>
    <n v="33"/>
    <x v="1"/>
    <x v="3"/>
    <x v="3"/>
    <x v="655"/>
    <d v="2022-01-30T00:00:00"/>
    <m/>
    <x v="4"/>
    <n v="10"/>
    <x v="0"/>
    <n v="425120"/>
  </r>
  <r>
    <s v="CAND100945"/>
    <s v="Priya"/>
    <s v="Verma"/>
    <x v="1"/>
    <n v="27"/>
    <x v="1"/>
    <x v="3"/>
    <x v="0"/>
    <x v="649"/>
    <d v="2022-09-12T00:00:00"/>
    <d v="2022-09-15T00:00:00"/>
    <x v="1"/>
    <n v="8"/>
    <x v="1"/>
    <n v="400132"/>
  </r>
  <r>
    <s v="CAND100946"/>
    <s v="Pooja"/>
    <s v="Joshi"/>
    <x v="0"/>
    <n v="39"/>
    <x v="2"/>
    <x v="0"/>
    <x v="2"/>
    <x v="656"/>
    <d v="2023-04-12T00:00:00"/>
    <d v="2023-04-15T00:00:00"/>
    <x v="1"/>
    <n v="2"/>
    <x v="2"/>
    <n v="629548"/>
  </r>
  <r>
    <s v="CAND100947"/>
    <s v="Karan"/>
    <s v="Mehta"/>
    <x v="0"/>
    <n v="36"/>
    <x v="1"/>
    <x v="1"/>
    <x v="1"/>
    <x v="657"/>
    <d v="2022-03-08T00:00:00"/>
    <m/>
    <x v="2"/>
    <n v="2"/>
    <x v="3"/>
    <n v="795624"/>
  </r>
  <r>
    <s v="CAND100948"/>
    <s v="Priya"/>
    <s v="Mehta"/>
    <x v="0"/>
    <n v="38"/>
    <x v="0"/>
    <x v="1"/>
    <x v="1"/>
    <x v="246"/>
    <d v="2022-08-08T00:00:00"/>
    <m/>
    <x v="1"/>
    <n v="3"/>
    <x v="2"/>
    <n v="716286"/>
  </r>
  <r>
    <s v="CAND100949"/>
    <s v="Neha"/>
    <s v="Joshi"/>
    <x v="1"/>
    <n v="38"/>
    <x v="3"/>
    <x v="3"/>
    <x v="0"/>
    <x v="658"/>
    <d v="2022-01-03T00:00:00"/>
    <d v="2022-01-06T00:00:00"/>
    <x v="4"/>
    <n v="5"/>
    <x v="2"/>
    <n v="984191"/>
  </r>
  <r>
    <s v="CAND100950"/>
    <s v="Karan"/>
    <s v="Kapoor"/>
    <x v="1"/>
    <n v="23"/>
    <x v="4"/>
    <x v="3"/>
    <x v="1"/>
    <x v="659"/>
    <d v="2021-09-07T00:00:00"/>
    <d v="2021-09-09T00:00:00"/>
    <x v="1"/>
    <n v="4"/>
    <x v="3"/>
    <n v="958254"/>
  </r>
  <r>
    <s v="CAND100951"/>
    <s v="Priya"/>
    <s v="Kapoor"/>
    <x v="0"/>
    <n v="44"/>
    <x v="1"/>
    <x v="0"/>
    <x v="1"/>
    <x v="530"/>
    <d v="2024-01-15T00:00:00"/>
    <d v="2024-01-19T00:00:00"/>
    <x v="0"/>
    <n v="9"/>
    <x v="3"/>
    <n v="523449"/>
  </r>
  <r>
    <s v="CAND100952"/>
    <s v="Sneha"/>
    <s v="Verma"/>
    <x v="1"/>
    <n v="42"/>
    <x v="3"/>
    <x v="4"/>
    <x v="1"/>
    <x v="612"/>
    <d v="2021-09-13T00:00:00"/>
    <d v="2021-09-19T00:00:00"/>
    <x v="1"/>
    <n v="4"/>
    <x v="2"/>
    <n v="547701"/>
  </r>
  <r>
    <s v="CAND100953"/>
    <s v="Sneha"/>
    <s v="Iyer"/>
    <x v="0"/>
    <n v="32"/>
    <x v="1"/>
    <x v="4"/>
    <x v="3"/>
    <x v="660"/>
    <d v="2023-11-24T00:00:00"/>
    <m/>
    <x v="4"/>
    <n v="5"/>
    <x v="2"/>
    <n v="946560"/>
  </r>
  <r>
    <s v="CAND100954"/>
    <s v="Rohit"/>
    <s v="Sharma"/>
    <x v="0"/>
    <n v="29"/>
    <x v="3"/>
    <x v="4"/>
    <x v="0"/>
    <x v="64"/>
    <d v="2023-12-26T00:00:00"/>
    <d v="2023-12-30T00:00:00"/>
    <x v="0"/>
    <n v="4"/>
    <x v="3"/>
    <n v="364593"/>
  </r>
  <r>
    <s v="CAND100955"/>
    <s v="Karan"/>
    <s v="Kapoor"/>
    <x v="1"/>
    <n v="35"/>
    <x v="0"/>
    <x v="1"/>
    <x v="3"/>
    <x v="661"/>
    <d v="2021-10-17T00:00:00"/>
    <d v="2021-10-19T00:00:00"/>
    <x v="4"/>
    <n v="2"/>
    <x v="1"/>
    <n v="963684"/>
  </r>
  <r>
    <s v="CAND100956"/>
    <s v="Pooja"/>
    <s v="Reddy"/>
    <x v="1"/>
    <n v="37"/>
    <x v="0"/>
    <x v="3"/>
    <x v="2"/>
    <x v="662"/>
    <d v="2024-04-28T00:00:00"/>
    <d v="2024-05-02T00:00:00"/>
    <x v="4"/>
    <n v="2"/>
    <x v="3"/>
    <n v="916373"/>
  </r>
  <r>
    <s v="CAND100957"/>
    <s v="Pooja"/>
    <s v="Reddy"/>
    <x v="1"/>
    <n v="41"/>
    <x v="3"/>
    <x v="3"/>
    <x v="0"/>
    <x v="297"/>
    <d v="2022-05-08T00:00:00"/>
    <d v="2022-05-15T00:00:00"/>
    <x v="4"/>
    <n v="4"/>
    <x v="0"/>
    <n v="538632"/>
  </r>
  <r>
    <s v="CAND100958"/>
    <s v="Amit"/>
    <s v="Kapoor"/>
    <x v="0"/>
    <n v="29"/>
    <x v="5"/>
    <x v="4"/>
    <x v="2"/>
    <x v="652"/>
    <d v="2021-04-28T00:00:00"/>
    <m/>
    <x v="2"/>
    <n v="9"/>
    <x v="2"/>
    <n v="811615"/>
  </r>
  <r>
    <s v="CAND100959"/>
    <s v="Neha"/>
    <s v="Kapoor"/>
    <x v="0"/>
    <n v="31"/>
    <x v="0"/>
    <x v="0"/>
    <x v="1"/>
    <x v="540"/>
    <d v="2021-01-19T00:00:00"/>
    <d v="2021-01-22T00:00:00"/>
    <x v="4"/>
    <n v="5"/>
    <x v="1"/>
    <n v="1142814"/>
  </r>
  <r>
    <s v="CAND100960"/>
    <s v="Neha"/>
    <s v="Verma"/>
    <x v="1"/>
    <n v="42"/>
    <x v="5"/>
    <x v="1"/>
    <x v="2"/>
    <x v="663"/>
    <d v="2023-03-30T00:00:00"/>
    <m/>
    <x v="0"/>
    <n v="6"/>
    <x v="2"/>
    <n v="570675"/>
  </r>
  <r>
    <s v="CAND100961"/>
    <s v="Sneha"/>
    <s v="Singh"/>
    <x v="0"/>
    <n v="41"/>
    <x v="1"/>
    <x v="1"/>
    <x v="4"/>
    <x v="664"/>
    <d v="2023-05-10T00:00:00"/>
    <m/>
    <x v="2"/>
    <n v="8"/>
    <x v="3"/>
    <n v="434352"/>
  </r>
  <r>
    <s v="CAND100962"/>
    <s v="Rahul"/>
    <s v="Mehta"/>
    <x v="0"/>
    <n v="37"/>
    <x v="1"/>
    <x v="2"/>
    <x v="4"/>
    <x v="641"/>
    <d v="2021-01-14T00:00:00"/>
    <m/>
    <x v="4"/>
    <n v="8"/>
    <x v="1"/>
    <n v="1020001"/>
  </r>
  <r>
    <s v="CAND100963"/>
    <s v="Priya"/>
    <s v="Joshi"/>
    <x v="0"/>
    <n v="22"/>
    <x v="5"/>
    <x v="2"/>
    <x v="0"/>
    <x v="84"/>
    <d v="2023-03-25T00:00:00"/>
    <m/>
    <x v="4"/>
    <n v="3"/>
    <x v="1"/>
    <n v="1036007"/>
  </r>
  <r>
    <s v="CAND100964"/>
    <s v="Rahul"/>
    <s v="Sharma"/>
    <x v="1"/>
    <n v="36"/>
    <x v="3"/>
    <x v="0"/>
    <x v="3"/>
    <x v="227"/>
    <d v="2021-10-24T00:00:00"/>
    <d v="2021-10-29T00:00:00"/>
    <x v="3"/>
    <n v="8"/>
    <x v="0"/>
    <n v="697734"/>
  </r>
  <r>
    <s v="CAND100965"/>
    <s v="Amit"/>
    <s v="Iyer"/>
    <x v="1"/>
    <n v="37"/>
    <x v="3"/>
    <x v="0"/>
    <x v="1"/>
    <x v="665"/>
    <d v="2022-04-06T00:00:00"/>
    <m/>
    <x v="0"/>
    <n v="3"/>
    <x v="2"/>
    <n v="989170"/>
  </r>
  <r>
    <s v="CAND100966"/>
    <s v="Vikas"/>
    <s v="Reddy"/>
    <x v="1"/>
    <n v="26"/>
    <x v="2"/>
    <x v="2"/>
    <x v="1"/>
    <x v="392"/>
    <d v="2022-07-26T00:00:00"/>
    <m/>
    <x v="2"/>
    <n v="8"/>
    <x v="2"/>
    <n v="737748"/>
  </r>
  <r>
    <s v="CAND100967"/>
    <s v="Karan"/>
    <s v="Gupta"/>
    <x v="1"/>
    <n v="31"/>
    <x v="2"/>
    <x v="3"/>
    <x v="4"/>
    <x v="49"/>
    <d v="2022-03-04T00:00:00"/>
    <m/>
    <x v="0"/>
    <n v="4"/>
    <x v="1"/>
    <n v="462217"/>
  </r>
  <r>
    <s v="CAND100968"/>
    <s v="Rahul"/>
    <s v="Mehta"/>
    <x v="1"/>
    <n v="31"/>
    <x v="4"/>
    <x v="4"/>
    <x v="3"/>
    <x v="504"/>
    <d v="2022-06-15T00:00:00"/>
    <d v="2022-06-22T00:00:00"/>
    <x v="4"/>
    <n v="3"/>
    <x v="3"/>
    <n v="820162"/>
  </r>
  <r>
    <s v="CAND100969"/>
    <s v="Rohit"/>
    <s v="Gupta"/>
    <x v="0"/>
    <n v="36"/>
    <x v="2"/>
    <x v="2"/>
    <x v="1"/>
    <x v="451"/>
    <d v="2022-09-24T00:00:00"/>
    <d v="2022-10-01T00:00:00"/>
    <x v="4"/>
    <n v="2"/>
    <x v="0"/>
    <n v="570101"/>
  </r>
  <r>
    <s v="CAND100970"/>
    <s v="Sneha"/>
    <s v="Iyer"/>
    <x v="1"/>
    <n v="28"/>
    <x v="0"/>
    <x v="3"/>
    <x v="1"/>
    <x v="666"/>
    <d v="2024-03-26T00:00:00"/>
    <m/>
    <x v="1"/>
    <n v="5"/>
    <x v="0"/>
    <n v="1029879"/>
  </r>
  <r>
    <s v="CAND100971"/>
    <s v="Ankit"/>
    <s v="Gupta"/>
    <x v="0"/>
    <n v="38"/>
    <x v="1"/>
    <x v="1"/>
    <x v="4"/>
    <x v="486"/>
    <d v="2022-11-11T00:00:00"/>
    <m/>
    <x v="2"/>
    <n v="4"/>
    <x v="0"/>
    <n v="426745"/>
  </r>
  <r>
    <s v="CAND100972"/>
    <s v="Sneha"/>
    <s v="Kapoor"/>
    <x v="0"/>
    <n v="45"/>
    <x v="1"/>
    <x v="4"/>
    <x v="3"/>
    <x v="420"/>
    <d v="2024-04-10T00:00:00"/>
    <d v="2024-04-12T00:00:00"/>
    <x v="4"/>
    <n v="6"/>
    <x v="0"/>
    <n v="1109943"/>
  </r>
  <r>
    <s v="CAND100973"/>
    <s v="Sneha"/>
    <s v="Patel"/>
    <x v="1"/>
    <n v="35"/>
    <x v="5"/>
    <x v="2"/>
    <x v="4"/>
    <x v="667"/>
    <d v="2022-03-16T00:00:00"/>
    <m/>
    <x v="4"/>
    <n v="5"/>
    <x v="3"/>
    <n v="1001931"/>
  </r>
  <r>
    <s v="CAND100974"/>
    <s v="Rohit"/>
    <s v="Kapoor"/>
    <x v="1"/>
    <n v="40"/>
    <x v="5"/>
    <x v="1"/>
    <x v="3"/>
    <x v="487"/>
    <d v="2021-08-11T00:00:00"/>
    <d v="2021-08-18T00:00:00"/>
    <x v="2"/>
    <n v="7"/>
    <x v="2"/>
    <n v="377727"/>
  </r>
  <r>
    <s v="CAND100975"/>
    <s v="Pooja"/>
    <s v="Gupta"/>
    <x v="0"/>
    <n v="37"/>
    <x v="3"/>
    <x v="2"/>
    <x v="4"/>
    <x v="444"/>
    <d v="2021-11-26T00:00:00"/>
    <m/>
    <x v="0"/>
    <n v="2"/>
    <x v="0"/>
    <n v="337908"/>
  </r>
  <r>
    <s v="CAND100976"/>
    <s v="Priya"/>
    <s v="Sharma"/>
    <x v="1"/>
    <n v="36"/>
    <x v="2"/>
    <x v="3"/>
    <x v="3"/>
    <x v="668"/>
    <d v="2023-12-04T00:00:00"/>
    <d v="2023-12-06T00:00:00"/>
    <x v="2"/>
    <n v="7"/>
    <x v="2"/>
    <n v="406161"/>
  </r>
  <r>
    <s v="CAND100977"/>
    <s v="Amit"/>
    <s v="Iyer"/>
    <x v="1"/>
    <n v="38"/>
    <x v="2"/>
    <x v="2"/>
    <x v="3"/>
    <x v="152"/>
    <d v="2022-10-17T00:00:00"/>
    <d v="2022-10-20T00:00:00"/>
    <x v="2"/>
    <n v="9"/>
    <x v="3"/>
    <n v="642978"/>
  </r>
  <r>
    <s v="CAND100978"/>
    <s v="Neha"/>
    <s v="Patel"/>
    <x v="0"/>
    <n v="37"/>
    <x v="0"/>
    <x v="3"/>
    <x v="1"/>
    <x v="669"/>
    <d v="2021-10-06T00:00:00"/>
    <d v="2021-10-11T00:00:00"/>
    <x v="1"/>
    <n v="8"/>
    <x v="2"/>
    <n v="479605"/>
  </r>
  <r>
    <s v="CAND100979"/>
    <s v="Karan"/>
    <s v="Iyer"/>
    <x v="1"/>
    <n v="35"/>
    <x v="4"/>
    <x v="4"/>
    <x v="4"/>
    <x v="598"/>
    <d v="2022-11-04T00:00:00"/>
    <m/>
    <x v="3"/>
    <n v="6"/>
    <x v="2"/>
    <n v="809925"/>
  </r>
  <r>
    <s v="CAND100980"/>
    <s v="Neha"/>
    <s v="Patel"/>
    <x v="0"/>
    <n v="39"/>
    <x v="4"/>
    <x v="4"/>
    <x v="1"/>
    <x v="670"/>
    <d v="2021-02-22T00:00:00"/>
    <m/>
    <x v="4"/>
    <n v="10"/>
    <x v="1"/>
    <n v="870532"/>
  </r>
  <r>
    <s v="CAND100981"/>
    <s v="Vikas"/>
    <s v="Joshi"/>
    <x v="0"/>
    <n v="43"/>
    <x v="2"/>
    <x v="2"/>
    <x v="4"/>
    <x v="508"/>
    <d v="2021-07-06T00:00:00"/>
    <d v="2021-07-13T00:00:00"/>
    <x v="2"/>
    <n v="10"/>
    <x v="2"/>
    <n v="644937"/>
  </r>
  <r>
    <s v="CAND100982"/>
    <s v="Neha"/>
    <s v="Joshi"/>
    <x v="0"/>
    <n v="22"/>
    <x v="5"/>
    <x v="1"/>
    <x v="1"/>
    <x v="352"/>
    <d v="2023-06-18T00:00:00"/>
    <d v="2023-06-24T00:00:00"/>
    <x v="3"/>
    <n v="2"/>
    <x v="3"/>
    <n v="881714"/>
  </r>
  <r>
    <s v="CAND100983"/>
    <s v="Pooja"/>
    <s v="Singh"/>
    <x v="1"/>
    <n v="34"/>
    <x v="2"/>
    <x v="2"/>
    <x v="4"/>
    <x v="671"/>
    <d v="2021-03-10T00:00:00"/>
    <m/>
    <x v="4"/>
    <n v="8"/>
    <x v="1"/>
    <n v="754696"/>
  </r>
  <r>
    <s v="CAND100984"/>
    <s v="Neha"/>
    <s v="Patel"/>
    <x v="0"/>
    <n v="32"/>
    <x v="2"/>
    <x v="3"/>
    <x v="2"/>
    <x v="82"/>
    <d v="2021-08-14T00:00:00"/>
    <d v="2021-08-21T00:00:00"/>
    <x v="0"/>
    <n v="6"/>
    <x v="1"/>
    <n v="737700"/>
  </r>
  <r>
    <s v="CAND100985"/>
    <s v="Priya"/>
    <s v="Mehta"/>
    <x v="1"/>
    <n v="37"/>
    <x v="3"/>
    <x v="0"/>
    <x v="1"/>
    <x v="672"/>
    <d v="2021-07-13T00:00:00"/>
    <d v="2021-07-17T00:00:00"/>
    <x v="3"/>
    <n v="3"/>
    <x v="0"/>
    <n v="375510"/>
  </r>
  <r>
    <s v="CAND100986"/>
    <s v="Rahul"/>
    <s v="Gupta"/>
    <x v="0"/>
    <n v="34"/>
    <x v="4"/>
    <x v="0"/>
    <x v="1"/>
    <x v="412"/>
    <d v="2022-01-21T00:00:00"/>
    <d v="2022-01-25T00:00:00"/>
    <x v="2"/>
    <n v="7"/>
    <x v="2"/>
    <n v="1097345"/>
  </r>
  <r>
    <s v="CAND100987"/>
    <s v="Ankit"/>
    <s v="Singh"/>
    <x v="0"/>
    <n v="36"/>
    <x v="4"/>
    <x v="4"/>
    <x v="1"/>
    <x v="57"/>
    <d v="2021-05-07T00:00:00"/>
    <d v="2021-05-09T00:00:00"/>
    <x v="4"/>
    <n v="2"/>
    <x v="2"/>
    <n v="531253"/>
  </r>
  <r>
    <s v="CAND100988"/>
    <s v="Pooja"/>
    <s v="Mehta"/>
    <x v="0"/>
    <n v="36"/>
    <x v="4"/>
    <x v="1"/>
    <x v="4"/>
    <x v="673"/>
    <d v="2021-11-11T00:00:00"/>
    <m/>
    <x v="3"/>
    <n v="3"/>
    <x v="0"/>
    <n v="702007"/>
  </r>
  <r>
    <s v="CAND100989"/>
    <s v="Karan"/>
    <s v="Iyer"/>
    <x v="0"/>
    <n v="28"/>
    <x v="0"/>
    <x v="4"/>
    <x v="0"/>
    <x v="674"/>
    <d v="2021-03-26T00:00:00"/>
    <d v="2021-03-30T00:00:00"/>
    <x v="0"/>
    <n v="4"/>
    <x v="0"/>
    <n v="992800"/>
  </r>
  <r>
    <s v="CAND100990"/>
    <s v="Sneha"/>
    <s v="Patel"/>
    <x v="0"/>
    <n v="31"/>
    <x v="2"/>
    <x v="3"/>
    <x v="1"/>
    <x v="417"/>
    <d v="2022-08-12T00:00:00"/>
    <m/>
    <x v="2"/>
    <n v="7"/>
    <x v="2"/>
    <n v="638836"/>
  </r>
  <r>
    <s v="CAND100991"/>
    <s v="Pooja"/>
    <s v="Gupta"/>
    <x v="0"/>
    <n v="27"/>
    <x v="2"/>
    <x v="1"/>
    <x v="4"/>
    <x v="99"/>
    <d v="2023-05-01T00:00:00"/>
    <d v="2023-05-04T00:00:00"/>
    <x v="1"/>
    <n v="6"/>
    <x v="2"/>
    <n v="325099"/>
  </r>
  <r>
    <s v="CAND100992"/>
    <s v="Rahul"/>
    <s v="Singh"/>
    <x v="1"/>
    <n v="34"/>
    <x v="5"/>
    <x v="4"/>
    <x v="0"/>
    <x v="315"/>
    <d v="2024-01-28T00:00:00"/>
    <m/>
    <x v="4"/>
    <n v="3"/>
    <x v="2"/>
    <n v="374740"/>
  </r>
  <r>
    <s v="CAND100993"/>
    <s v="Karan"/>
    <s v="Joshi"/>
    <x v="1"/>
    <n v="22"/>
    <x v="5"/>
    <x v="1"/>
    <x v="1"/>
    <x v="675"/>
    <d v="2023-08-22T00:00:00"/>
    <d v="2023-08-29T00:00:00"/>
    <x v="1"/>
    <n v="2"/>
    <x v="0"/>
    <n v="769267"/>
  </r>
  <r>
    <s v="CAND100994"/>
    <s v="Ankit"/>
    <s v="Sharma"/>
    <x v="0"/>
    <n v="26"/>
    <x v="1"/>
    <x v="0"/>
    <x v="0"/>
    <x v="676"/>
    <d v="2021-07-15T00:00:00"/>
    <d v="2021-07-17T00:00:00"/>
    <x v="0"/>
    <n v="2"/>
    <x v="3"/>
    <n v="712514"/>
  </r>
  <r>
    <s v="CAND100995"/>
    <s v="Rahul"/>
    <s v="Iyer"/>
    <x v="1"/>
    <n v="41"/>
    <x v="5"/>
    <x v="1"/>
    <x v="3"/>
    <x v="598"/>
    <d v="2022-11-02T00:00:00"/>
    <m/>
    <x v="3"/>
    <n v="3"/>
    <x v="0"/>
    <n v="377612"/>
  </r>
  <r>
    <s v="CAND100996"/>
    <s v="Sneha"/>
    <s v="Joshi"/>
    <x v="1"/>
    <n v="42"/>
    <x v="5"/>
    <x v="2"/>
    <x v="2"/>
    <x v="205"/>
    <d v="2024-02-05T00:00:00"/>
    <m/>
    <x v="3"/>
    <n v="8"/>
    <x v="0"/>
    <n v="768274"/>
  </r>
  <r>
    <s v="CAND100997"/>
    <s v="Sneha"/>
    <s v="Sharma"/>
    <x v="1"/>
    <n v="43"/>
    <x v="2"/>
    <x v="4"/>
    <x v="2"/>
    <x v="27"/>
    <d v="2021-05-21T00:00:00"/>
    <d v="2021-05-27T00:00:00"/>
    <x v="0"/>
    <n v="9"/>
    <x v="3"/>
    <n v="437771"/>
  </r>
  <r>
    <s v="CAND100998"/>
    <s v="Neha"/>
    <s v="Kapoor"/>
    <x v="0"/>
    <n v="27"/>
    <x v="2"/>
    <x v="0"/>
    <x v="0"/>
    <x v="241"/>
    <d v="2023-06-12T00:00:00"/>
    <m/>
    <x v="2"/>
    <n v="8"/>
    <x v="0"/>
    <n v="715641"/>
  </r>
  <r>
    <s v="CAND100999"/>
    <s v="Neha"/>
    <s v="Reddy"/>
    <x v="0"/>
    <n v="27"/>
    <x v="5"/>
    <x v="4"/>
    <x v="0"/>
    <x v="584"/>
    <d v="2021-12-05T00:00:00"/>
    <d v="2021-12-09T00:00:00"/>
    <x v="1"/>
    <n v="4"/>
    <x v="1"/>
    <n v="9609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71571-01DE-43AD-A16D-DA94DFC32C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C22" firstHeaderRow="1" firstDataRow="1" firstDataCol="1"/>
  <pivotFields count="18">
    <pivotField dataField="1" showAll="0"/>
    <pivotField showAll="0"/>
    <pivotField showAll="0"/>
    <pivotField axis="axisRow" showAll="0">
      <items count="3">
        <item x="0"/>
        <item x="1"/>
        <item t="default"/>
      </items>
    </pivotField>
    <pivotField showAll="0"/>
    <pivotField showAll="0"/>
    <pivotField showAll="0">
      <items count="6">
        <item x="0"/>
        <item x="4"/>
        <item x="3"/>
        <item x="2"/>
        <item x="1"/>
        <item t="default"/>
      </items>
    </pivotField>
    <pivotField showAll="0">
      <items count="6">
        <item x="3"/>
        <item x="4"/>
        <item x="0"/>
        <item x="1"/>
        <item x="2"/>
        <item t="default"/>
      </items>
    </pivotField>
    <pivotField numFmtId="14" showAll="0">
      <items count="678">
        <item x="641"/>
        <item x="622"/>
        <item x="282"/>
        <item x="294"/>
        <item x="332"/>
        <item x="474"/>
        <item x="153"/>
        <item x="540"/>
        <item x="110"/>
        <item x="388"/>
        <item x="88"/>
        <item x="177"/>
        <item x="509"/>
        <item x="472"/>
        <item x="44"/>
        <item x="379"/>
        <item x="77"/>
        <item x="12"/>
        <item x="98"/>
        <item x="615"/>
        <item x="560"/>
        <item x="156"/>
        <item x="482"/>
        <item x="606"/>
        <item x="349"/>
        <item x="670"/>
        <item x="52"/>
        <item x="479"/>
        <item x="671"/>
        <item x="271"/>
        <item x="183"/>
        <item x="170"/>
        <item x="496"/>
        <item x="314"/>
        <item x="674"/>
        <item x="142"/>
        <item x="41"/>
        <item x="536"/>
        <item x="51"/>
        <item x="248"/>
        <item x="593"/>
        <item x="68"/>
        <item x="266"/>
        <item x="596"/>
        <item x="516"/>
        <item x="648"/>
        <item x="344"/>
        <item x="597"/>
        <item x="389"/>
        <item x="301"/>
        <item x="65"/>
        <item x="86"/>
        <item x="602"/>
        <item x="122"/>
        <item x="495"/>
        <item x="652"/>
        <item x="326"/>
        <item x="330"/>
        <item x="280"/>
        <item x="57"/>
        <item x="329"/>
        <item x="381"/>
        <item x="511"/>
        <item x="124"/>
        <item x="322"/>
        <item x="27"/>
        <item x="637"/>
        <item x="492"/>
        <item x="372"/>
        <item x="208"/>
        <item x="367"/>
        <item x="380"/>
        <item x="134"/>
        <item x="116"/>
        <item x="521"/>
        <item x="139"/>
        <item x="377"/>
        <item x="599"/>
        <item x="185"/>
        <item x="22"/>
        <item x="325"/>
        <item x="506"/>
        <item x="55"/>
        <item x="570"/>
        <item x="401"/>
        <item x="610"/>
        <item x="445"/>
        <item x="117"/>
        <item x="505"/>
        <item x="73"/>
        <item x="452"/>
        <item x="355"/>
        <item x="350"/>
        <item x="587"/>
        <item x="581"/>
        <item x="212"/>
        <item x="126"/>
        <item x="508"/>
        <item x="369"/>
        <item x="157"/>
        <item x="228"/>
        <item x="186"/>
        <item x="576"/>
        <item x="676"/>
        <item x="106"/>
        <item x="672"/>
        <item x="480"/>
        <item x="242"/>
        <item x="514"/>
        <item x="95"/>
        <item x="447"/>
        <item x="520"/>
        <item x="272"/>
        <item x="416"/>
        <item x="499"/>
        <item x="239"/>
        <item x="62"/>
        <item x="26"/>
        <item x="434"/>
        <item x="487"/>
        <item x="82"/>
        <item x="127"/>
        <item x="53"/>
        <item x="383"/>
        <item x="102"/>
        <item x="188"/>
        <item x="163"/>
        <item x="539"/>
        <item x="237"/>
        <item x="605"/>
        <item x="292"/>
        <item x="63"/>
        <item x="454"/>
        <item x="160"/>
        <item x="659"/>
        <item x="281"/>
        <item x="612"/>
        <item x="174"/>
        <item x="251"/>
        <item x="223"/>
        <item x="592"/>
        <item x="176"/>
        <item x="577"/>
        <item x="107"/>
        <item x="200"/>
        <item x="669"/>
        <item x="553"/>
        <item x="440"/>
        <item x="9"/>
        <item x="555"/>
        <item x="567"/>
        <item x="661"/>
        <item x="490"/>
        <item x="441"/>
        <item x="78"/>
        <item x="342"/>
        <item x="400"/>
        <item x="101"/>
        <item x="244"/>
        <item x="518"/>
        <item x="552"/>
        <item x="494"/>
        <item x="227"/>
        <item x="6"/>
        <item x="578"/>
        <item x="256"/>
        <item x="128"/>
        <item x="545"/>
        <item x="217"/>
        <item x="562"/>
        <item x="524"/>
        <item x="222"/>
        <item x="161"/>
        <item x="673"/>
        <item x="343"/>
        <item x="402"/>
        <item x="175"/>
        <item x="181"/>
        <item x="415"/>
        <item x="386"/>
        <item x="360"/>
        <item x="444"/>
        <item x="382"/>
        <item x="584"/>
        <item x="634"/>
        <item x="61"/>
        <item x="300"/>
        <item x="146"/>
        <item x="469"/>
        <item x="433"/>
        <item x="468"/>
        <item x="113"/>
        <item x="425"/>
        <item x="258"/>
        <item x="165"/>
        <item x="138"/>
        <item x="658"/>
        <item x="446"/>
        <item x="435"/>
        <item x="394"/>
        <item x="398"/>
        <item x="15"/>
        <item x="338"/>
        <item x="544"/>
        <item x="56"/>
        <item x="654"/>
        <item x="523"/>
        <item x="633"/>
        <item x="412"/>
        <item x="655"/>
        <item x="33"/>
        <item x="345"/>
        <item x="48"/>
        <item x="14"/>
        <item x="141"/>
        <item x="547"/>
        <item x="559"/>
        <item x="135"/>
        <item x="192"/>
        <item x="546"/>
        <item x="318"/>
        <item x="551"/>
        <item x="218"/>
        <item x="91"/>
        <item x="427"/>
        <item x="250"/>
        <item x="573"/>
        <item x="49"/>
        <item x="296"/>
        <item x="316"/>
        <item x="368"/>
        <item x="583"/>
        <item x="5"/>
        <item x="17"/>
        <item x="644"/>
        <item x="657"/>
        <item x="460"/>
        <item x="336"/>
        <item x="667"/>
        <item x="1"/>
        <item x="148"/>
        <item x="424"/>
        <item x="431"/>
        <item x="137"/>
        <item x="361"/>
        <item x="348"/>
        <item x="510"/>
        <item x="613"/>
        <item x="665"/>
        <item x="384"/>
        <item x="274"/>
        <item x="588"/>
        <item x="378"/>
        <item x="291"/>
        <item x="586"/>
        <item x="60"/>
        <item x="569"/>
        <item x="74"/>
        <item x="500"/>
        <item x="97"/>
        <item x="23"/>
        <item x="262"/>
        <item x="151"/>
        <item x="364"/>
        <item x="243"/>
        <item x="653"/>
        <item x="297"/>
        <item x="498"/>
        <item x="319"/>
        <item x="104"/>
        <item x="321"/>
        <item x="120"/>
        <item x="395"/>
        <item x="561"/>
        <item x="501"/>
        <item x="603"/>
        <item x="269"/>
        <item x="426"/>
        <item x="408"/>
        <item x="255"/>
        <item x="455"/>
        <item x="616"/>
        <item x="574"/>
        <item x="517"/>
        <item x="419"/>
        <item x="70"/>
        <item x="273"/>
        <item x="356"/>
        <item x="504"/>
        <item x="284"/>
        <item x="54"/>
        <item x="193"/>
        <item x="199"/>
        <item x="507"/>
        <item x="204"/>
        <item x="411"/>
        <item x="376"/>
        <item x="171"/>
        <item x="249"/>
        <item x="317"/>
        <item x="2"/>
        <item x="390"/>
        <item x="312"/>
        <item x="458"/>
        <item x="140"/>
        <item x="32"/>
        <item x="620"/>
        <item x="477"/>
        <item x="231"/>
        <item x="69"/>
        <item x="83"/>
        <item x="366"/>
        <item x="443"/>
        <item x="214"/>
        <item x="636"/>
        <item x="549"/>
        <item x="115"/>
        <item x="191"/>
        <item x="392"/>
        <item x="385"/>
        <item x="246"/>
        <item x="417"/>
        <item x="129"/>
        <item x="600"/>
        <item x="87"/>
        <item x="168"/>
        <item x="374"/>
        <item x="550"/>
        <item x="169"/>
        <item x="187"/>
        <item x="216"/>
        <item x="166"/>
        <item x="268"/>
        <item x="396"/>
        <item x="327"/>
        <item x="277"/>
        <item x="0"/>
        <item x="595"/>
        <item x="4"/>
        <item x="649"/>
        <item x="572"/>
        <item x="580"/>
        <item x="158"/>
        <item x="371"/>
        <item x="260"/>
        <item x="619"/>
        <item x="119"/>
        <item x="220"/>
        <item x="121"/>
        <item x="537"/>
        <item x="357"/>
        <item x="459"/>
        <item x="451"/>
        <item x="645"/>
        <item x="473"/>
        <item x="442"/>
        <item x="308"/>
        <item x="295"/>
        <item x="178"/>
        <item x="450"/>
        <item x="152"/>
        <item x="337"/>
        <item x="488"/>
        <item x="515"/>
        <item x="30"/>
        <item x="279"/>
        <item x="556"/>
        <item x="59"/>
        <item x="40"/>
        <item x="554"/>
        <item x="16"/>
        <item x="585"/>
        <item x="598"/>
        <item x="486"/>
        <item x="37"/>
        <item x="489"/>
        <item x="66"/>
        <item x="114"/>
        <item x="594"/>
        <item x="94"/>
        <item x="286"/>
        <item x="252"/>
        <item x="147"/>
        <item x="164"/>
        <item x="13"/>
        <item x="483"/>
        <item x="421"/>
        <item x="650"/>
        <item x="45"/>
        <item x="331"/>
        <item x="43"/>
        <item x="471"/>
        <item x="29"/>
        <item x="502"/>
        <item x="358"/>
        <item x="557"/>
        <item x="591"/>
        <item x="34"/>
        <item x="623"/>
        <item x="611"/>
        <item x="568"/>
        <item x="184"/>
        <item x="229"/>
        <item x="465"/>
        <item x="423"/>
        <item x="405"/>
        <item x="609"/>
        <item x="493"/>
        <item x="461"/>
        <item x="531"/>
        <item x="638"/>
        <item x="642"/>
        <item x="526"/>
        <item x="643"/>
        <item x="614"/>
        <item x="589"/>
        <item x="3"/>
        <item x="38"/>
        <item x="525"/>
        <item x="566"/>
        <item x="149"/>
        <item x="298"/>
        <item x="647"/>
        <item x="132"/>
        <item x="18"/>
        <item x="283"/>
        <item x="527"/>
        <item x="230"/>
        <item x="254"/>
        <item x="467"/>
        <item x="36"/>
        <item x="196"/>
        <item x="439"/>
        <item x="335"/>
        <item x="290"/>
        <item x="307"/>
        <item x="353"/>
        <item x="221"/>
        <item x="288"/>
        <item x="359"/>
        <item x="85"/>
        <item x="339"/>
        <item x="391"/>
        <item x="464"/>
        <item x="418"/>
        <item x="466"/>
        <item x="629"/>
        <item x="491"/>
        <item x="413"/>
        <item x="363"/>
        <item x="264"/>
        <item x="84"/>
        <item x="198"/>
        <item x="155"/>
        <item x="354"/>
        <item x="663"/>
        <item x="112"/>
        <item x="305"/>
        <item x="203"/>
        <item x="47"/>
        <item x="100"/>
        <item x="457"/>
        <item x="76"/>
        <item x="225"/>
        <item x="130"/>
        <item x="656"/>
        <item x="320"/>
        <item x="197"/>
        <item x="92"/>
        <item x="144"/>
        <item x="538"/>
        <item x="207"/>
        <item x="80"/>
        <item x="133"/>
        <item x="211"/>
        <item x="99"/>
        <item x="31"/>
        <item x="42"/>
        <item x="528"/>
        <item x="635"/>
        <item x="324"/>
        <item x="235"/>
        <item x="664"/>
        <item x="628"/>
        <item x="522"/>
        <item x="8"/>
        <item x="323"/>
        <item x="497"/>
        <item x="35"/>
        <item x="240"/>
        <item x="278"/>
        <item x="311"/>
        <item x="81"/>
        <item x="105"/>
        <item x="543"/>
        <item x="534"/>
        <item x="399"/>
        <item x="241"/>
        <item x="259"/>
        <item x="299"/>
        <item x="46"/>
        <item x="365"/>
        <item x="162"/>
        <item x="352"/>
        <item x="351"/>
        <item x="651"/>
        <item x="108"/>
        <item x="541"/>
        <item x="503"/>
        <item x="475"/>
        <item x="10"/>
        <item x="7"/>
        <item x="410"/>
        <item x="19"/>
        <item x="293"/>
        <item x="519"/>
        <item x="103"/>
        <item x="409"/>
        <item x="303"/>
        <item x="219"/>
        <item x="512"/>
        <item x="236"/>
        <item x="306"/>
        <item x="111"/>
        <item x="180"/>
        <item x="630"/>
        <item x="173"/>
        <item x="437"/>
        <item x="313"/>
        <item x="210"/>
        <item x="143"/>
        <item x="234"/>
        <item x="202"/>
        <item x="72"/>
        <item x="25"/>
        <item x="571"/>
        <item x="675"/>
        <item x="304"/>
        <item x="190"/>
        <item x="125"/>
        <item x="532"/>
        <item x="456"/>
        <item x="201"/>
        <item x="172"/>
        <item x="406"/>
        <item x="428"/>
        <item x="261"/>
        <item x="484"/>
        <item x="21"/>
        <item x="232"/>
        <item x="627"/>
        <item x="626"/>
        <item x="476"/>
        <item x="432"/>
        <item x="485"/>
        <item x="89"/>
        <item x="310"/>
        <item x="253"/>
        <item x="370"/>
        <item x="513"/>
        <item x="346"/>
        <item x="285"/>
        <item x="607"/>
        <item x="182"/>
        <item x="11"/>
        <item x="646"/>
        <item x="123"/>
        <item x="215"/>
        <item x="226"/>
        <item x="624"/>
        <item x="601"/>
        <item x="270"/>
        <item x="393"/>
        <item x="50"/>
        <item x="75"/>
        <item x="470"/>
        <item x="131"/>
        <item x="195"/>
        <item x="233"/>
        <item x="167"/>
        <item x="397"/>
        <item x="407"/>
        <item x="238"/>
        <item x="373"/>
        <item x="340"/>
        <item x="660"/>
        <item x="436"/>
        <item x="639"/>
        <item x="608"/>
        <item x="668"/>
        <item x="20"/>
        <item x="575"/>
        <item x="224"/>
        <item x="194"/>
        <item x="67"/>
        <item x="422"/>
        <item x="462"/>
        <item x="617"/>
        <item x="245"/>
        <item x="414"/>
        <item x="64"/>
        <item x="604"/>
        <item x="632"/>
        <item x="362"/>
        <item x="478"/>
        <item x="109"/>
        <item x="333"/>
        <item x="334"/>
        <item x="347"/>
        <item x="448"/>
        <item x="39"/>
        <item x="247"/>
        <item x="118"/>
        <item x="179"/>
        <item x="564"/>
        <item x="387"/>
        <item x="530"/>
        <item x="429"/>
        <item x="154"/>
        <item x="287"/>
        <item x="625"/>
        <item x="58"/>
        <item x="631"/>
        <item x="315"/>
        <item x="150"/>
        <item x="430"/>
        <item x="618"/>
        <item x="205"/>
        <item x="24"/>
        <item x="213"/>
        <item x="79"/>
        <item x="275"/>
        <item x="145"/>
        <item x="404"/>
        <item x="565"/>
        <item x="209"/>
        <item x="96"/>
        <item x="71"/>
        <item x="529"/>
        <item x="28"/>
        <item x="265"/>
        <item x="563"/>
        <item x="535"/>
        <item x="206"/>
        <item x="267"/>
        <item x="257"/>
        <item x="159"/>
        <item x="621"/>
        <item x="375"/>
        <item x="289"/>
        <item x="189"/>
        <item x="302"/>
        <item x="481"/>
        <item x="640"/>
        <item x="666"/>
        <item x="548"/>
        <item x="136"/>
        <item x="582"/>
        <item x="453"/>
        <item x="542"/>
        <item x="93"/>
        <item x="403"/>
        <item x="420"/>
        <item x="276"/>
        <item x="263"/>
        <item x="579"/>
        <item x="558"/>
        <item x="463"/>
        <item x="438"/>
        <item x="341"/>
        <item x="309"/>
        <item x="449"/>
        <item x="328"/>
        <item x="533"/>
        <item x="590"/>
        <item x="90"/>
        <item x="662"/>
        <item t="default"/>
      </items>
    </pivotField>
    <pivotField numFmtId="14" showAll="0"/>
    <pivotField showAll="0"/>
    <pivotField showAll="0">
      <items count="6">
        <item x="0"/>
        <item x="4"/>
        <item x="1"/>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3">
    <i>
      <x/>
    </i>
    <i>
      <x v="1"/>
    </i>
    <i t="grand">
      <x/>
    </i>
  </rowItems>
  <colItems count="1">
    <i/>
  </colItems>
  <dataFields count="1">
    <dataField name="Count of Candidate_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D73C1-2692-487B-B6B8-33BFAB2811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11" firstHeaderRow="1" firstDataRow="1" firstDataCol="1"/>
  <pivotFields count="18">
    <pivotField dataField="1" showAll="0"/>
    <pivotField showAll="0"/>
    <pivotField showAll="0"/>
    <pivotField showAll="0"/>
    <pivotField showAll="0"/>
    <pivotField axis="axisRow" showAll="0">
      <items count="7">
        <item x="2"/>
        <item x="5"/>
        <item x="0"/>
        <item x="3"/>
        <item x="4"/>
        <item x="1"/>
        <item t="default"/>
      </items>
    </pivotField>
    <pivotField showAll="0">
      <items count="6">
        <item x="0"/>
        <item x="4"/>
        <item x="3"/>
        <item x="2"/>
        <item x="1"/>
        <item t="default"/>
      </items>
    </pivotField>
    <pivotField showAll="0">
      <items count="6">
        <item x="3"/>
        <item x="4"/>
        <item x="0"/>
        <item x="1"/>
        <item x="2"/>
        <item t="default"/>
      </items>
    </pivotField>
    <pivotField numFmtId="14" showAll="0">
      <items count="678">
        <item x="641"/>
        <item x="622"/>
        <item x="282"/>
        <item x="294"/>
        <item x="332"/>
        <item x="474"/>
        <item x="153"/>
        <item x="540"/>
        <item x="110"/>
        <item x="388"/>
        <item x="88"/>
        <item x="177"/>
        <item x="509"/>
        <item x="472"/>
        <item x="44"/>
        <item x="379"/>
        <item x="77"/>
        <item x="12"/>
        <item x="98"/>
        <item x="615"/>
        <item x="560"/>
        <item x="156"/>
        <item x="482"/>
        <item x="606"/>
        <item x="349"/>
        <item x="670"/>
        <item x="52"/>
        <item x="479"/>
        <item x="671"/>
        <item x="271"/>
        <item x="183"/>
        <item x="170"/>
        <item x="496"/>
        <item x="314"/>
        <item x="674"/>
        <item x="142"/>
        <item x="41"/>
        <item x="536"/>
        <item x="51"/>
        <item x="248"/>
        <item x="593"/>
        <item x="68"/>
        <item x="266"/>
        <item x="596"/>
        <item x="516"/>
        <item x="648"/>
        <item x="344"/>
        <item x="597"/>
        <item x="389"/>
        <item x="301"/>
        <item x="65"/>
        <item x="86"/>
        <item x="602"/>
        <item x="122"/>
        <item x="495"/>
        <item x="652"/>
        <item x="326"/>
        <item x="330"/>
        <item x="280"/>
        <item x="57"/>
        <item x="329"/>
        <item x="381"/>
        <item x="511"/>
        <item x="124"/>
        <item x="322"/>
        <item x="27"/>
        <item x="637"/>
        <item x="492"/>
        <item x="372"/>
        <item x="208"/>
        <item x="367"/>
        <item x="380"/>
        <item x="134"/>
        <item x="116"/>
        <item x="521"/>
        <item x="139"/>
        <item x="377"/>
        <item x="599"/>
        <item x="185"/>
        <item x="22"/>
        <item x="325"/>
        <item x="506"/>
        <item x="55"/>
        <item x="570"/>
        <item x="401"/>
        <item x="610"/>
        <item x="445"/>
        <item x="117"/>
        <item x="505"/>
        <item x="73"/>
        <item x="452"/>
        <item x="355"/>
        <item x="350"/>
        <item x="587"/>
        <item x="581"/>
        <item x="212"/>
        <item x="126"/>
        <item x="508"/>
        <item x="369"/>
        <item x="157"/>
        <item x="228"/>
        <item x="186"/>
        <item x="576"/>
        <item x="676"/>
        <item x="106"/>
        <item x="672"/>
        <item x="480"/>
        <item x="242"/>
        <item x="514"/>
        <item x="95"/>
        <item x="447"/>
        <item x="520"/>
        <item x="272"/>
        <item x="416"/>
        <item x="499"/>
        <item x="239"/>
        <item x="62"/>
        <item x="26"/>
        <item x="434"/>
        <item x="487"/>
        <item x="82"/>
        <item x="127"/>
        <item x="53"/>
        <item x="383"/>
        <item x="102"/>
        <item x="188"/>
        <item x="163"/>
        <item x="539"/>
        <item x="237"/>
        <item x="605"/>
        <item x="292"/>
        <item x="63"/>
        <item x="454"/>
        <item x="160"/>
        <item x="659"/>
        <item x="281"/>
        <item x="612"/>
        <item x="174"/>
        <item x="251"/>
        <item x="223"/>
        <item x="592"/>
        <item x="176"/>
        <item x="577"/>
        <item x="107"/>
        <item x="200"/>
        <item x="669"/>
        <item x="553"/>
        <item x="440"/>
        <item x="9"/>
        <item x="555"/>
        <item x="567"/>
        <item x="661"/>
        <item x="490"/>
        <item x="441"/>
        <item x="78"/>
        <item x="342"/>
        <item x="400"/>
        <item x="101"/>
        <item x="244"/>
        <item x="518"/>
        <item x="552"/>
        <item x="494"/>
        <item x="227"/>
        <item x="6"/>
        <item x="578"/>
        <item x="256"/>
        <item x="128"/>
        <item x="545"/>
        <item x="217"/>
        <item x="562"/>
        <item x="524"/>
        <item x="222"/>
        <item x="161"/>
        <item x="673"/>
        <item x="343"/>
        <item x="402"/>
        <item x="175"/>
        <item x="181"/>
        <item x="415"/>
        <item x="386"/>
        <item x="360"/>
        <item x="444"/>
        <item x="382"/>
        <item x="584"/>
        <item x="634"/>
        <item x="61"/>
        <item x="300"/>
        <item x="146"/>
        <item x="469"/>
        <item x="433"/>
        <item x="468"/>
        <item x="113"/>
        <item x="425"/>
        <item x="258"/>
        <item x="165"/>
        <item x="138"/>
        <item x="658"/>
        <item x="446"/>
        <item x="435"/>
        <item x="394"/>
        <item x="398"/>
        <item x="15"/>
        <item x="338"/>
        <item x="544"/>
        <item x="56"/>
        <item x="654"/>
        <item x="523"/>
        <item x="633"/>
        <item x="412"/>
        <item x="655"/>
        <item x="33"/>
        <item x="345"/>
        <item x="48"/>
        <item x="14"/>
        <item x="141"/>
        <item x="547"/>
        <item x="559"/>
        <item x="135"/>
        <item x="192"/>
        <item x="546"/>
        <item x="318"/>
        <item x="551"/>
        <item x="218"/>
        <item x="91"/>
        <item x="427"/>
        <item x="250"/>
        <item x="573"/>
        <item x="49"/>
        <item x="296"/>
        <item x="316"/>
        <item x="368"/>
        <item x="583"/>
        <item x="5"/>
        <item x="17"/>
        <item x="644"/>
        <item x="657"/>
        <item x="460"/>
        <item x="336"/>
        <item x="667"/>
        <item x="1"/>
        <item x="148"/>
        <item x="424"/>
        <item x="431"/>
        <item x="137"/>
        <item x="361"/>
        <item x="348"/>
        <item x="510"/>
        <item x="613"/>
        <item x="665"/>
        <item x="384"/>
        <item x="274"/>
        <item x="588"/>
        <item x="378"/>
        <item x="291"/>
        <item x="586"/>
        <item x="60"/>
        <item x="569"/>
        <item x="74"/>
        <item x="500"/>
        <item x="97"/>
        <item x="23"/>
        <item x="262"/>
        <item x="151"/>
        <item x="364"/>
        <item x="243"/>
        <item x="653"/>
        <item x="297"/>
        <item x="498"/>
        <item x="319"/>
        <item x="104"/>
        <item x="321"/>
        <item x="120"/>
        <item x="395"/>
        <item x="561"/>
        <item x="501"/>
        <item x="603"/>
        <item x="269"/>
        <item x="426"/>
        <item x="408"/>
        <item x="255"/>
        <item x="455"/>
        <item x="616"/>
        <item x="574"/>
        <item x="517"/>
        <item x="419"/>
        <item x="70"/>
        <item x="273"/>
        <item x="356"/>
        <item x="504"/>
        <item x="284"/>
        <item x="54"/>
        <item x="193"/>
        <item x="199"/>
        <item x="507"/>
        <item x="204"/>
        <item x="411"/>
        <item x="376"/>
        <item x="171"/>
        <item x="249"/>
        <item x="317"/>
        <item x="2"/>
        <item x="390"/>
        <item x="312"/>
        <item x="458"/>
        <item x="140"/>
        <item x="32"/>
        <item x="620"/>
        <item x="477"/>
        <item x="231"/>
        <item x="69"/>
        <item x="83"/>
        <item x="366"/>
        <item x="443"/>
        <item x="214"/>
        <item x="636"/>
        <item x="549"/>
        <item x="115"/>
        <item x="191"/>
        <item x="392"/>
        <item x="385"/>
        <item x="246"/>
        <item x="417"/>
        <item x="129"/>
        <item x="600"/>
        <item x="87"/>
        <item x="168"/>
        <item x="374"/>
        <item x="550"/>
        <item x="169"/>
        <item x="187"/>
        <item x="216"/>
        <item x="166"/>
        <item x="268"/>
        <item x="396"/>
        <item x="327"/>
        <item x="277"/>
        <item x="0"/>
        <item x="595"/>
        <item x="4"/>
        <item x="649"/>
        <item x="572"/>
        <item x="580"/>
        <item x="158"/>
        <item x="371"/>
        <item x="260"/>
        <item x="619"/>
        <item x="119"/>
        <item x="220"/>
        <item x="121"/>
        <item x="537"/>
        <item x="357"/>
        <item x="459"/>
        <item x="451"/>
        <item x="645"/>
        <item x="473"/>
        <item x="442"/>
        <item x="308"/>
        <item x="295"/>
        <item x="178"/>
        <item x="450"/>
        <item x="152"/>
        <item x="337"/>
        <item x="488"/>
        <item x="515"/>
        <item x="30"/>
        <item x="279"/>
        <item x="556"/>
        <item x="59"/>
        <item x="40"/>
        <item x="554"/>
        <item x="16"/>
        <item x="585"/>
        <item x="598"/>
        <item x="486"/>
        <item x="37"/>
        <item x="489"/>
        <item x="66"/>
        <item x="114"/>
        <item x="594"/>
        <item x="94"/>
        <item x="286"/>
        <item x="252"/>
        <item x="147"/>
        <item x="164"/>
        <item x="13"/>
        <item x="483"/>
        <item x="421"/>
        <item x="650"/>
        <item x="45"/>
        <item x="331"/>
        <item x="43"/>
        <item x="471"/>
        <item x="29"/>
        <item x="502"/>
        <item x="358"/>
        <item x="557"/>
        <item x="591"/>
        <item x="34"/>
        <item x="623"/>
        <item x="611"/>
        <item x="568"/>
        <item x="184"/>
        <item x="229"/>
        <item x="465"/>
        <item x="423"/>
        <item x="405"/>
        <item x="609"/>
        <item x="493"/>
        <item x="461"/>
        <item x="531"/>
        <item x="638"/>
        <item x="642"/>
        <item x="526"/>
        <item x="643"/>
        <item x="614"/>
        <item x="589"/>
        <item x="3"/>
        <item x="38"/>
        <item x="525"/>
        <item x="566"/>
        <item x="149"/>
        <item x="298"/>
        <item x="647"/>
        <item x="132"/>
        <item x="18"/>
        <item x="283"/>
        <item x="527"/>
        <item x="230"/>
        <item x="254"/>
        <item x="467"/>
        <item x="36"/>
        <item x="196"/>
        <item x="439"/>
        <item x="335"/>
        <item x="290"/>
        <item x="307"/>
        <item x="353"/>
        <item x="221"/>
        <item x="288"/>
        <item x="359"/>
        <item x="85"/>
        <item x="339"/>
        <item x="391"/>
        <item x="464"/>
        <item x="418"/>
        <item x="466"/>
        <item x="629"/>
        <item x="491"/>
        <item x="413"/>
        <item x="363"/>
        <item x="264"/>
        <item x="84"/>
        <item x="198"/>
        <item x="155"/>
        <item x="354"/>
        <item x="663"/>
        <item x="112"/>
        <item x="305"/>
        <item x="203"/>
        <item x="47"/>
        <item x="100"/>
        <item x="457"/>
        <item x="76"/>
        <item x="225"/>
        <item x="130"/>
        <item x="656"/>
        <item x="320"/>
        <item x="197"/>
        <item x="92"/>
        <item x="144"/>
        <item x="538"/>
        <item x="207"/>
        <item x="80"/>
        <item x="133"/>
        <item x="211"/>
        <item x="99"/>
        <item x="31"/>
        <item x="42"/>
        <item x="528"/>
        <item x="635"/>
        <item x="324"/>
        <item x="235"/>
        <item x="664"/>
        <item x="628"/>
        <item x="522"/>
        <item x="8"/>
        <item x="323"/>
        <item x="497"/>
        <item x="35"/>
        <item x="240"/>
        <item x="278"/>
        <item x="311"/>
        <item x="81"/>
        <item x="105"/>
        <item x="543"/>
        <item x="534"/>
        <item x="399"/>
        <item x="241"/>
        <item x="259"/>
        <item x="299"/>
        <item x="46"/>
        <item x="365"/>
        <item x="162"/>
        <item x="352"/>
        <item x="351"/>
        <item x="651"/>
        <item x="108"/>
        <item x="541"/>
        <item x="503"/>
        <item x="475"/>
        <item x="10"/>
        <item x="7"/>
        <item x="410"/>
        <item x="19"/>
        <item x="293"/>
        <item x="519"/>
        <item x="103"/>
        <item x="409"/>
        <item x="303"/>
        <item x="219"/>
        <item x="512"/>
        <item x="236"/>
        <item x="306"/>
        <item x="111"/>
        <item x="180"/>
        <item x="630"/>
        <item x="173"/>
        <item x="437"/>
        <item x="313"/>
        <item x="210"/>
        <item x="143"/>
        <item x="234"/>
        <item x="202"/>
        <item x="72"/>
        <item x="25"/>
        <item x="571"/>
        <item x="675"/>
        <item x="304"/>
        <item x="190"/>
        <item x="125"/>
        <item x="532"/>
        <item x="456"/>
        <item x="201"/>
        <item x="172"/>
        <item x="406"/>
        <item x="428"/>
        <item x="261"/>
        <item x="484"/>
        <item x="21"/>
        <item x="232"/>
        <item x="627"/>
        <item x="626"/>
        <item x="476"/>
        <item x="432"/>
        <item x="485"/>
        <item x="89"/>
        <item x="310"/>
        <item x="253"/>
        <item x="370"/>
        <item x="513"/>
        <item x="346"/>
        <item x="285"/>
        <item x="607"/>
        <item x="182"/>
        <item x="11"/>
        <item x="646"/>
        <item x="123"/>
        <item x="215"/>
        <item x="226"/>
        <item x="624"/>
        <item x="601"/>
        <item x="270"/>
        <item x="393"/>
        <item x="50"/>
        <item x="75"/>
        <item x="470"/>
        <item x="131"/>
        <item x="195"/>
        <item x="233"/>
        <item x="167"/>
        <item x="397"/>
        <item x="407"/>
        <item x="238"/>
        <item x="373"/>
        <item x="340"/>
        <item x="660"/>
        <item x="436"/>
        <item x="639"/>
        <item x="608"/>
        <item x="668"/>
        <item x="20"/>
        <item x="575"/>
        <item x="224"/>
        <item x="194"/>
        <item x="67"/>
        <item x="422"/>
        <item x="462"/>
        <item x="617"/>
        <item x="245"/>
        <item x="414"/>
        <item x="64"/>
        <item x="604"/>
        <item x="632"/>
        <item x="362"/>
        <item x="478"/>
        <item x="109"/>
        <item x="333"/>
        <item x="334"/>
        <item x="347"/>
        <item x="448"/>
        <item x="39"/>
        <item x="247"/>
        <item x="118"/>
        <item x="179"/>
        <item x="564"/>
        <item x="387"/>
        <item x="530"/>
        <item x="429"/>
        <item x="154"/>
        <item x="287"/>
        <item x="625"/>
        <item x="58"/>
        <item x="631"/>
        <item x="315"/>
        <item x="150"/>
        <item x="430"/>
        <item x="618"/>
        <item x="205"/>
        <item x="24"/>
        <item x="213"/>
        <item x="79"/>
        <item x="275"/>
        <item x="145"/>
        <item x="404"/>
        <item x="565"/>
        <item x="209"/>
        <item x="96"/>
        <item x="71"/>
        <item x="529"/>
        <item x="28"/>
        <item x="265"/>
        <item x="563"/>
        <item x="535"/>
        <item x="206"/>
        <item x="267"/>
        <item x="257"/>
        <item x="159"/>
        <item x="621"/>
        <item x="375"/>
        <item x="289"/>
        <item x="189"/>
        <item x="302"/>
        <item x="481"/>
        <item x="640"/>
        <item x="666"/>
        <item x="548"/>
        <item x="136"/>
        <item x="582"/>
        <item x="453"/>
        <item x="542"/>
        <item x="93"/>
        <item x="403"/>
        <item x="420"/>
        <item x="276"/>
        <item x="263"/>
        <item x="579"/>
        <item x="558"/>
        <item x="463"/>
        <item x="438"/>
        <item x="341"/>
        <item x="309"/>
        <item x="449"/>
        <item x="328"/>
        <item x="533"/>
        <item x="590"/>
        <item x="90"/>
        <item x="662"/>
        <item t="default"/>
      </items>
    </pivotField>
    <pivotField numFmtId="14" showAll="0"/>
    <pivotField showAll="0"/>
    <pivotField showAll="0">
      <items count="6">
        <item x="0"/>
        <item x="4"/>
        <item x="1"/>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7">
    <i>
      <x/>
    </i>
    <i>
      <x v="1"/>
    </i>
    <i>
      <x v="2"/>
    </i>
    <i>
      <x v="3"/>
    </i>
    <i>
      <x v="4"/>
    </i>
    <i>
      <x v="5"/>
    </i>
    <i t="grand">
      <x/>
    </i>
  </rowItems>
  <colItems count="1">
    <i/>
  </colItems>
  <dataFields count="1">
    <dataField name="Count of Candidat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C7F2F-759C-465B-8E52-0B9F53B642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12" firstHeaderRow="1" firstDataRow="1" firstDataCol="1" rowPageCount="1" colPageCount="1"/>
  <pivotFields count="18">
    <pivotField dataField="1" showAll="0"/>
    <pivotField showAll="0"/>
    <pivotField showAll="0"/>
    <pivotField showAll="0">
      <items count="3">
        <item x="0"/>
        <item x="1"/>
        <item t="default"/>
      </items>
    </pivotField>
    <pivotField showAll="0"/>
    <pivotField showAll="0"/>
    <pivotField showAll="0">
      <items count="6">
        <item x="0"/>
        <item x="4"/>
        <item x="3"/>
        <item x="2"/>
        <item x="1"/>
        <item t="default"/>
      </items>
    </pivotField>
    <pivotField axis="axisRow" showAll="0">
      <items count="6">
        <item x="3"/>
        <item x="4"/>
        <item x="0"/>
        <item x="1"/>
        <item x="2"/>
        <item t="default"/>
      </items>
    </pivotField>
    <pivotField numFmtId="14" showAll="0">
      <items count="678">
        <item x="641"/>
        <item x="622"/>
        <item x="282"/>
        <item x="294"/>
        <item x="332"/>
        <item x="474"/>
        <item x="153"/>
        <item x="540"/>
        <item x="110"/>
        <item x="388"/>
        <item x="88"/>
        <item x="177"/>
        <item x="509"/>
        <item x="472"/>
        <item x="44"/>
        <item x="379"/>
        <item x="77"/>
        <item x="12"/>
        <item x="98"/>
        <item x="615"/>
        <item x="560"/>
        <item x="156"/>
        <item x="482"/>
        <item x="606"/>
        <item x="349"/>
        <item x="670"/>
        <item x="52"/>
        <item x="479"/>
        <item x="671"/>
        <item x="271"/>
        <item x="183"/>
        <item x="170"/>
        <item x="496"/>
        <item x="314"/>
        <item x="674"/>
        <item x="142"/>
        <item x="41"/>
        <item x="536"/>
        <item x="51"/>
        <item x="248"/>
        <item x="593"/>
        <item x="68"/>
        <item x="266"/>
        <item x="596"/>
        <item x="516"/>
        <item x="648"/>
        <item x="344"/>
        <item x="597"/>
        <item x="389"/>
        <item x="301"/>
        <item x="65"/>
        <item x="86"/>
        <item x="602"/>
        <item x="122"/>
        <item x="495"/>
        <item x="652"/>
        <item x="326"/>
        <item x="330"/>
        <item x="280"/>
        <item x="57"/>
        <item x="329"/>
        <item x="381"/>
        <item x="511"/>
        <item x="124"/>
        <item x="322"/>
        <item x="27"/>
        <item x="637"/>
        <item x="492"/>
        <item x="372"/>
        <item x="208"/>
        <item x="367"/>
        <item x="380"/>
        <item x="134"/>
        <item x="116"/>
        <item x="521"/>
        <item x="139"/>
        <item x="377"/>
        <item x="599"/>
        <item x="185"/>
        <item x="22"/>
        <item x="325"/>
        <item x="506"/>
        <item x="55"/>
        <item x="570"/>
        <item x="401"/>
        <item x="610"/>
        <item x="445"/>
        <item x="117"/>
        <item x="505"/>
        <item x="73"/>
        <item x="452"/>
        <item x="355"/>
        <item x="350"/>
        <item x="587"/>
        <item x="581"/>
        <item x="212"/>
        <item x="126"/>
        <item x="508"/>
        <item x="369"/>
        <item x="157"/>
        <item x="228"/>
        <item x="186"/>
        <item x="576"/>
        <item x="676"/>
        <item x="106"/>
        <item x="672"/>
        <item x="480"/>
        <item x="242"/>
        <item x="514"/>
        <item x="95"/>
        <item x="447"/>
        <item x="520"/>
        <item x="272"/>
        <item x="416"/>
        <item x="499"/>
        <item x="239"/>
        <item x="62"/>
        <item x="26"/>
        <item x="434"/>
        <item x="487"/>
        <item x="82"/>
        <item x="127"/>
        <item x="53"/>
        <item x="383"/>
        <item x="102"/>
        <item x="188"/>
        <item x="163"/>
        <item x="539"/>
        <item x="237"/>
        <item x="605"/>
        <item x="292"/>
        <item x="63"/>
        <item x="454"/>
        <item x="160"/>
        <item x="659"/>
        <item x="281"/>
        <item x="612"/>
        <item x="174"/>
        <item x="251"/>
        <item x="223"/>
        <item x="592"/>
        <item x="176"/>
        <item x="577"/>
        <item x="107"/>
        <item x="200"/>
        <item x="669"/>
        <item x="553"/>
        <item x="440"/>
        <item x="9"/>
        <item x="555"/>
        <item x="567"/>
        <item x="661"/>
        <item x="490"/>
        <item x="441"/>
        <item x="78"/>
        <item x="342"/>
        <item x="400"/>
        <item x="101"/>
        <item x="244"/>
        <item x="518"/>
        <item x="552"/>
        <item x="494"/>
        <item x="227"/>
        <item x="6"/>
        <item x="578"/>
        <item x="256"/>
        <item x="128"/>
        <item x="545"/>
        <item x="217"/>
        <item x="562"/>
        <item x="524"/>
        <item x="222"/>
        <item x="161"/>
        <item x="673"/>
        <item x="343"/>
        <item x="402"/>
        <item x="175"/>
        <item x="181"/>
        <item x="415"/>
        <item x="386"/>
        <item x="360"/>
        <item x="444"/>
        <item x="382"/>
        <item x="584"/>
        <item x="634"/>
        <item x="61"/>
        <item x="300"/>
        <item x="146"/>
        <item x="469"/>
        <item x="433"/>
        <item x="468"/>
        <item x="113"/>
        <item x="425"/>
        <item x="258"/>
        <item x="165"/>
        <item x="138"/>
        <item x="658"/>
        <item x="446"/>
        <item x="435"/>
        <item x="394"/>
        <item x="398"/>
        <item x="15"/>
        <item x="338"/>
        <item x="544"/>
        <item x="56"/>
        <item x="654"/>
        <item x="523"/>
        <item x="633"/>
        <item x="412"/>
        <item x="655"/>
        <item x="33"/>
        <item x="345"/>
        <item x="48"/>
        <item x="14"/>
        <item x="141"/>
        <item x="547"/>
        <item x="559"/>
        <item x="135"/>
        <item x="192"/>
        <item x="546"/>
        <item x="318"/>
        <item x="551"/>
        <item x="218"/>
        <item x="91"/>
        <item x="427"/>
        <item x="250"/>
        <item x="573"/>
        <item x="49"/>
        <item x="296"/>
        <item x="316"/>
        <item x="368"/>
        <item x="583"/>
        <item x="5"/>
        <item x="17"/>
        <item x="644"/>
        <item x="657"/>
        <item x="460"/>
        <item x="336"/>
        <item x="667"/>
        <item x="1"/>
        <item x="148"/>
        <item x="424"/>
        <item x="431"/>
        <item x="137"/>
        <item x="361"/>
        <item x="348"/>
        <item x="510"/>
        <item x="613"/>
        <item x="665"/>
        <item x="384"/>
        <item x="274"/>
        <item x="588"/>
        <item x="378"/>
        <item x="291"/>
        <item x="586"/>
        <item x="60"/>
        <item x="569"/>
        <item x="74"/>
        <item x="500"/>
        <item x="97"/>
        <item x="23"/>
        <item x="262"/>
        <item x="151"/>
        <item x="364"/>
        <item x="243"/>
        <item x="653"/>
        <item x="297"/>
        <item x="498"/>
        <item x="319"/>
        <item x="104"/>
        <item x="321"/>
        <item x="120"/>
        <item x="395"/>
        <item x="561"/>
        <item x="501"/>
        <item x="603"/>
        <item x="269"/>
        <item x="426"/>
        <item x="408"/>
        <item x="255"/>
        <item x="455"/>
        <item x="616"/>
        <item x="574"/>
        <item x="517"/>
        <item x="419"/>
        <item x="70"/>
        <item x="273"/>
        <item x="356"/>
        <item x="504"/>
        <item x="284"/>
        <item x="54"/>
        <item x="193"/>
        <item x="199"/>
        <item x="507"/>
        <item x="204"/>
        <item x="411"/>
        <item x="376"/>
        <item x="171"/>
        <item x="249"/>
        <item x="317"/>
        <item x="2"/>
        <item x="390"/>
        <item x="312"/>
        <item x="458"/>
        <item x="140"/>
        <item x="32"/>
        <item x="620"/>
        <item x="477"/>
        <item x="231"/>
        <item x="69"/>
        <item x="83"/>
        <item x="366"/>
        <item x="443"/>
        <item x="214"/>
        <item x="636"/>
        <item x="549"/>
        <item x="115"/>
        <item x="191"/>
        <item x="392"/>
        <item x="385"/>
        <item x="246"/>
        <item x="417"/>
        <item x="129"/>
        <item x="600"/>
        <item x="87"/>
        <item x="168"/>
        <item x="374"/>
        <item x="550"/>
        <item x="169"/>
        <item x="187"/>
        <item x="216"/>
        <item x="166"/>
        <item x="268"/>
        <item x="396"/>
        <item x="327"/>
        <item x="277"/>
        <item x="0"/>
        <item x="595"/>
        <item x="4"/>
        <item x="649"/>
        <item x="572"/>
        <item x="580"/>
        <item x="158"/>
        <item x="371"/>
        <item x="260"/>
        <item x="619"/>
        <item x="119"/>
        <item x="220"/>
        <item x="121"/>
        <item x="537"/>
        <item x="357"/>
        <item x="459"/>
        <item x="451"/>
        <item x="645"/>
        <item x="473"/>
        <item x="442"/>
        <item x="308"/>
        <item x="295"/>
        <item x="178"/>
        <item x="450"/>
        <item x="152"/>
        <item x="337"/>
        <item x="488"/>
        <item x="515"/>
        <item x="30"/>
        <item x="279"/>
        <item x="556"/>
        <item x="59"/>
        <item x="40"/>
        <item x="554"/>
        <item x="16"/>
        <item x="585"/>
        <item x="598"/>
        <item x="486"/>
        <item x="37"/>
        <item x="489"/>
        <item x="66"/>
        <item x="114"/>
        <item x="594"/>
        <item x="94"/>
        <item x="286"/>
        <item x="252"/>
        <item x="147"/>
        <item x="164"/>
        <item x="13"/>
        <item x="483"/>
        <item x="421"/>
        <item x="650"/>
        <item x="45"/>
        <item x="331"/>
        <item x="43"/>
        <item x="471"/>
        <item x="29"/>
        <item x="502"/>
        <item x="358"/>
        <item x="557"/>
        <item x="591"/>
        <item x="34"/>
        <item x="623"/>
        <item x="611"/>
        <item x="568"/>
        <item x="184"/>
        <item x="229"/>
        <item x="465"/>
        <item x="423"/>
        <item x="405"/>
        <item x="609"/>
        <item x="493"/>
        <item x="461"/>
        <item x="531"/>
        <item x="638"/>
        <item x="642"/>
        <item x="526"/>
        <item x="643"/>
        <item x="614"/>
        <item x="589"/>
        <item x="3"/>
        <item x="38"/>
        <item x="525"/>
        <item x="566"/>
        <item x="149"/>
        <item x="298"/>
        <item x="647"/>
        <item x="132"/>
        <item x="18"/>
        <item x="283"/>
        <item x="527"/>
        <item x="230"/>
        <item x="254"/>
        <item x="467"/>
        <item x="36"/>
        <item x="196"/>
        <item x="439"/>
        <item x="335"/>
        <item x="290"/>
        <item x="307"/>
        <item x="353"/>
        <item x="221"/>
        <item x="288"/>
        <item x="359"/>
        <item x="85"/>
        <item x="339"/>
        <item x="391"/>
        <item x="464"/>
        <item x="418"/>
        <item x="466"/>
        <item x="629"/>
        <item x="491"/>
        <item x="413"/>
        <item x="363"/>
        <item x="264"/>
        <item x="84"/>
        <item x="198"/>
        <item x="155"/>
        <item x="354"/>
        <item x="663"/>
        <item x="112"/>
        <item x="305"/>
        <item x="203"/>
        <item x="47"/>
        <item x="100"/>
        <item x="457"/>
        <item x="76"/>
        <item x="225"/>
        <item x="130"/>
        <item x="656"/>
        <item x="320"/>
        <item x="197"/>
        <item x="92"/>
        <item x="144"/>
        <item x="538"/>
        <item x="207"/>
        <item x="80"/>
        <item x="133"/>
        <item x="211"/>
        <item x="99"/>
        <item x="31"/>
        <item x="42"/>
        <item x="528"/>
        <item x="635"/>
        <item x="324"/>
        <item x="235"/>
        <item x="664"/>
        <item x="628"/>
        <item x="522"/>
        <item x="8"/>
        <item x="323"/>
        <item x="497"/>
        <item x="35"/>
        <item x="240"/>
        <item x="278"/>
        <item x="311"/>
        <item x="81"/>
        <item x="105"/>
        <item x="543"/>
        <item x="534"/>
        <item x="399"/>
        <item x="241"/>
        <item x="259"/>
        <item x="299"/>
        <item x="46"/>
        <item x="365"/>
        <item x="162"/>
        <item x="352"/>
        <item x="351"/>
        <item x="651"/>
        <item x="108"/>
        <item x="541"/>
        <item x="503"/>
        <item x="475"/>
        <item x="10"/>
        <item x="7"/>
        <item x="410"/>
        <item x="19"/>
        <item x="293"/>
        <item x="519"/>
        <item x="103"/>
        <item x="409"/>
        <item x="303"/>
        <item x="219"/>
        <item x="512"/>
        <item x="236"/>
        <item x="306"/>
        <item x="111"/>
        <item x="180"/>
        <item x="630"/>
        <item x="173"/>
        <item x="437"/>
        <item x="313"/>
        <item x="210"/>
        <item x="143"/>
        <item x="234"/>
        <item x="202"/>
        <item x="72"/>
        <item x="25"/>
        <item x="571"/>
        <item x="675"/>
        <item x="304"/>
        <item x="190"/>
        <item x="125"/>
        <item x="532"/>
        <item x="456"/>
        <item x="201"/>
        <item x="172"/>
        <item x="406"/>
        <item x="428"/>
        <item x="261"/>
        <item x="484"/>
        <item x="21"/>
        <item x="232"/>
        <item x="627"/>
        <item x="626"/>
        <item x="476"/>
        <item x="432"/>
        <item x="485"/>
        <item x="89"/>
        <item x="310"/>
        <item x="253"/>
        <item x="370"/>
        <item x="513"/>
        <item x="346"/>
        <item x="285"/>
        <item x="607"/>
        <item x="182"/>
        <item x="11"/>
        <item x="646"/>
        <item x="123"/>
        <item x="215"/>
        <item x="226"/>
        <item x="624"/>
        <item x="601"/>
        <item x="270"/>
        <item x="393"/>
        <item x="50"/>
        <item x="75"/>
        <item x="470"/>
        <item x="131"/>
        <item x="195"/>
        <item x="233"/>
        <item x="167"/>
        <item x="397"/>
        <item x="407"/>
        <item x="238"/>
        <item x="373"/>
        <item x="340"/>
        <item x="660"/>
        <item x="436"/>
        <item x="639"/>
        <item x="608"/>
        <item x="668"/>
        <item x="20"/>
        <item x="575"/>
        <item x="224"/>
        <item x="194"/>
        <item x="67"/>
        <item x="422"/>
        <item x="462"/>
        <item x="617"/>
        <item x="245"/>
        <item x="414"/>
        <item x="64"/>
        <item x="604"/>
        <item x="632"/>
        <item x="362"/>
        <item x="478"/>
        <item x="109"/>
        <item x="333"/>
        <item x="334"/>
        <item x="347"/>
        <item x="448"/>
        <item x="39"/>
        <item x="247"/>
        <item x="118"/>
        <item x="179"/>
        <item x="564"/>
        <item x="387"/>
        <item x="530"/>
        <item x="429"/>
        <item x="154"/>
        <item x="287"/>
        <item x="625"/>
        <item x="58"/>
        <item x="631"/>
        <item x="315"/>
        <item x="150"/>
        <item x="430"/>
        <item x="618"/>
        <item x="205"/>
        <item x="24"/>
        <item x="213"/>
        <item x="79"/>
        <item x="275"/>
        <item x="145"/>
        <item x="404"/>
        <item x="565"/>
        <item x="209"/>
        <item x="96"/>
        <item x="71"/>
        <item x="529"/>
        <item x="28"/>
        <item x="265"/>
        <item x="563"/>
        <item x="535"/>
        <item x="206"/>
        <item x="267"/>
        <item x="257"/>
        <item x="159"/>
        <item x="621"/>
        <item x="375"/>
        <item x="289"/>
        <item x="189"/>
        <item x="302"/>
        <item x="481"/>
        <item x="640"/>
        <item x="666"/>
        <item x="548"/>
        <item x="136"/>
        <item x="582"/>
        <item x="453"/>
        <item x="542"/>
        <item x="93"/>
        <item x="403"/>
        <item x="420"/>
        <item x="276"/>
        <item x="263"/>
        <item x="579"/>
        <item x="558"/>
        <item x="463"/>
        <item x="438"/>
        <item x="341"/>
        <item x="309"/>
        <item x="449"/>
        <item x="328"/>
        <item x="533"/>
        <item x="590"/>
        <item x="90"/>
        <item x="662"/>
        <item t="default"/>
      </items>
    </pivotField>
    <pivotField numFmtId="14" showAll="0"/>
    <pivotField showAll="0"/>
    <pivotField showAll="0">
      <items count="6">
        <item x="0"/>
        <item x="4"/>
        <item x="1"/>
        <item x="2"/>
        <item x="3"/>
        <item t="default"/>
      </items>
    </pivotField>
    <pivotField showAll="0"/>
    <pivotField axis="axisPage" multipleItemSelectionAllowed="1" showAll="0">
      <items count="5">
        <item h="1" x="3"/>
        <item h="1" x="1"/>
        <item h="1"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i>
    <i>
      <x v="1"/>
    </i>
    <i>
      <x v="2"/>
    </i>
    <i>
      <x v="3"/>
    </i>
    <i>
      <x v="4"/>
    </i>
    <i t="grand">
      <x/>
    </i>
  </rowItems>
  <colItems count="1">
    <i/>
  </colItems>
  <pageFields count="1">
    <pageField fld="13" hier="-1"/>
  </pageFields>
  <dataFields count="1">
    <dataField name="Count of Candidat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D321CE-47BF-42FC-B9D7-0804ED5114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C22" firstHeaderRow="1" firstDataRow="1" firstDataCol="1"/>
  <pivotFields count="18">
    <pivotField dataField="1" showAll="0"/>
    <pivotField showAll="0"/>
    <pivotField showAll="0"/>
    <pivotField showAll="0"/>
    <pivotField showAll="0"/>
    <pivotField showAll="0"/>
    <pivotField showAll="0">
      <items count="6">
        <item x="0"/>
        <item x="4"/>
        <item x="3"/>
        <item x="2"/>
        <item x="1"/>
        <item t="default"/>
      </items>
    </pivotField>
    <pivotField showAll="0">
      <items count="6">
        <item x="3"/>
        <item x="4"/>
        <item x="0"/>
        <item x="1"/>
        <item x="2"/>
        <item t="default"/>
      </items>
    </pivotField>
    <pivotField numFmtId="14" showAll="0">
      <items count="678">
        <item x="641"/>
        <item x="622"/>
        <item x="282"/>
        <item x="294"/>
        <item x="332"/>
        <item x="474"/>
        <item x="153"/>
        <item x="540"/>
        <item x="110"/>
        <item x="388"/>
        <item x="88"/>
        <item x="177"/>
        <item x="509"/>
        <item x="472"/>
        <item x="44"/>
        <item x="379"/>
        <item x="77"/>
        <item x="12"/>
        <item x="98"/>
        <item x="615"/>
        <item x="560"/>
        <item x="156"/>
        <item x="482"/>
        <item x="606"/>
        <item x="349"/>
        <item x="670"/>
        <item x="52"/>
        <item x="479"/>
        <item x="671"/>
        <item x="271"/>
        <item x="183"/>
        <item x="170"/>
        <item x="496"/>
        <item x="314"/>
        <item x="674"/>
        <item x="142"/>
        <item x="41"/>
        <item x="536"/>
        <item x="51"/>
        <item x="248"/>
        <item x="593"/>
        <item x="68"/>
        <item x="266"/>
        <item x="596"/>
        <item x="516"/>
        <item x="648"/>
        <item x="344"/>
        <item x="597"/>
        <item x="389"/>
        <item x="301"/>
        <item x="65"/>
        <item x="86"/>
        <item x="602"/>
        <item x="122"/>
        <item x="495"/>
        <item x="652"/>
        <item x="326"/>
        <item x="330"/>
        <item x="280"/>
        <item x="57"/>
        <item x="329"/>
        <item x="381"/>
        <item x="511"/>
        <item x="124"/>
        <item x="322"/>
        <item x="27"/>
        <item x="637"/>
        <item x="492"/>
        <item x="372"/>
        <item x="208"/>
        <item x="367"/>
        <item x="380"/>
        <item x="134"/>
        <item x="116"/>
        <item x="521"/>
        <item x="139"/>
        <item x="377"/>
        <item x="599"/>
        <item x="185"/>
        <item x="22"/>
        <item x="325"/>
        <item x="506"/>
        <item x="55"/>
        <item x="570"/>
        <item x="401"/>
        <item x="610"/>
        <item x="445"/>
        <item x="117"/>
        <item x="505"/>
        <item x="73"/>
        <item x="452"/>
        <item x="355"/>
        <item x="350"/>
        <item x="587"/>
        <item x="581"/>
        <item x="212"/>
        <item x="126"/>
        <item x="508"/>
        <item x="369"/>
        <item x="157"/>
        <item x="228"/>
        <item x="186"/>
        <item x="576"/>
        <item x="676"/>
        <item x="106"/>
        <item x="672"/>
        <item x="480"/>
        <item x="242"/>
        <item x="514"/>
        <item x="95"/>
        <item x="447"/>
        <item x="520"/>
        <item x="272"/>
        <item x="416"/>
        <item x="499"/>
        <item x="239"/>
        <item x="62"/>
        <item x="26"/>
        <item x="434"/>
        <item x="487"/>
        <item x="82"/>
        <item x="127"/>
        <item x="53"/>
        <item x="383"/>
        <item x="102"/>
        <item x="188"/>
        <item x="163"/>
        <item x="539"/>
        <item x="237"/>
        <item x="605"/>
        <item x="292"/>
        <item x="63"/>
        <item x="454"/>
        <item x="160"/>
        <item x="659"/>
        <item x="281"/>
        <item x="612"/>
        <item x="174"/>
        <item x="251"/>
        <item x="223"/>
        <item x="592"/>
        <item x="176"/>
        <item x="577"/>
        <item x="107"/>
        <item x="200"/>
        <item x="669"/>
        <item x="553"/>
        <item x="440"/>
        <item x="9"/>
        <item x="555"/>
        <item x="567"/>
        <item x="661"/>
        <item x="490"/>
        <item x="441"/>
        <item x="78"/>
        <item x="342"/>
        <item x="400"/>
        <item x="101"/>
        <item x="244"/>
        <item x="518"/>
        <item x="552"/>
        <item x="494"/>
        <item x="227"/>
        <item x="6"/>
        <item x="578"/>
        <item x="256"/>
        <item x="128"/>
        <item x="545"/>
        <item x="217"/>
        <item x="562"/>
        <item x="524"/>
        <item x="222"/>
        <item x="161"/>
        <item x="673"/>
        <item x="343"/>
        <item x="402"/>
        <item x="175"/>
        <item x="181"/>
        <item x="415"/>
        <item x="386"/>
        <item x="360"/>
        <item x="444"/>
        <item x="382"/>
        <item x="584"/>
        <item x="634"/>
        <item x="61"/>
        <item x="300"/>
        <item x="146"/>
        <item x="469"/>
        <item x="433"/>
        <item x="468"/>
        <item x="113"/>
        <item x="425"/>
        <item x="258"/>
        <item x="165"/>
        <item x="138"/>
        <item x="658"/>
        <item x="446"/>
        <item x="435"/>
        <item x="394"/>
        <item x="398"/>
        <item x="15"/>
        <item x="338"/>
        <item x="544"/>
        <item x="56"/>
        <item x="654"/>
        <item x="523"/>
        <item x="633"/>
        <item x="412"/>
        <item x="655"/>
        <item x="33"/>
        <item x="345"/>
        <item x="48"/>
        <item x="14"/>
        <item x="141"/>
        <item x="547"/>
        <item x="559"/>
        <item x="135"/>
        <item x="192"/>
        <item x="546"/>
        <item x="318"/>
        <item x="551"/>
        <item x="218"/>
        <item x="91"/>
        <item x="427"/>
        <item x="250"/>
        <item x="573"/>
        <item x="49"/>
        <item x="296"/>
        <item x="316"/>
        <item x="368"/>
        <item x="583"/>
        <item x="5"/>
        <item x="17"/>
        <item x="644"/>
        <item x="657"/>
        <item x="460"/>
        <item x="336"/>
        <item x="667"/>
        <item x="1"/>
        <item x="148"/>
        <item x="424"/>
        <item x="431"/>
        <item x="137"/>
        <item x="361"/>
        <item x="348"/>
        <item x="510"/>
        <item x="613"/>
        <item x="665"/>
        <item x="384"/>
        <item x="274"/>
        <item x="588"/>
        <item x="378"/>
        <item x="291"/>
        <item x="586"/>
        <item x="60"/>
        <item x="569"/>
        <item x="74"/>
        <item x="500"/>
        <item x="97"/>
        <item x="23"/>
        <item x="262"/>
        <item x="151"/>
        <item x="364"/>
        <item x="243"/>
        <item x="653"/>
        <item x="297"/>
        <item x="498"/>
        <item x="319"/>
        <item x="104"/>
        <item x="321"/>
        <item x="120"/>
        <item x="395"/>
        <item x="561"/>
        <item x="501"/>
        <item x="603"/>
        <item x="269"/>
        <item x="426"/>
        <item x="408"/>
        <item x="255"/>
        <item x="455"/>
        <item x="616"/>
        <item x="574"/>
        <item x="517"/>
        <item x="419"/>
        <item x="70"/>
        <item x="273"/>
        <item x="356"/>
        <item x="504"/>
        <item x="284"/>
        <item x="54"/>
        <item x="193"/>
        <item x="199"/>
        <item x="507"/>
        <item x="204"/>
        <item x="411"/>
        <item x="376"/>
        <item x="171"/>
        <item x="249"/>
        <item x="317"/>
        <item x="2"/>
        <item x="390"/>
        <item x="312"/>
        <item x="458"/>
        <item x="140"/>
        <item x="32"/>
        <item x="620"/>
        <item x="477"/>
        <item x="231"/>
        <item x="69"/>
        <item x="83"/>
        <item x="366"/>
        <item x="443"/>
        <item x="214"/>
        <item x="636"/>
        <item x="549"/>
        <item x="115"/>
        <item x="191"/>
        <item x="392"/>
        <item x="385"/>
        <item x="246"/>
        <item x="417"/>
        <item x="129"/>
        <item x="600"/>
        <item x="87"/>
        <item x="168"/>
        <item x="374"/>
        <item x="550"/>
        <item x="169"/>
        <item x="187"/>
        <item x="216"/>
        <item x="166"/>
        <item x="268"/>
        <item x="396"/>
        <item x="327"/>
        <item x="277"/>
        <item x="0"/>
        <item x="595"/>
        <item x="4"/>
        <item x="649"/>
        <item x="572"/>
        <item x="580"/>
        <item x="158"/>
        <item x="371"/>
        <item x="260"/>
        <item x="619"/>
        <item x="119"/>
        <item x="220"/>
        <item x="121"/>
        <item x="537"/>
        <item x="357"/>
        <item x="459"/>
        <item x="451"/>
        <item x="645"/>
        <item x="473"/>
        <item x="442"/>
        <item x="308"/>
        <item x="295"/>
        <item x="178"/>
        <item x="450"/>
        <item x="152"/>
        <item x="337"/>
        <item x="488"/>
        <item x="515"/>
        <item x="30"/>
        <item x="279"/>
        <item x="556"/>
        <item x="59"/>
        <item x="40"/>
        <item x="554"/>
        <item x="16"/>
        <item x="585"/>
        <item x="598"/>
        <item x="486"/>
        <item x="37"/>
        <item x="489"/>
        <item x="66"/>
        <item x="114"/>
        <item x="594"/>
        <item x="94"/>
        <item x="286"/>
        <item x="252"/>
        <item x="147"/>
        <item x="164"/>
        <item x="13"/>
        <item x="483"/>
        <item x="421"/>
        <item x="650"/>
        <item x="45"/>
        <item x="331"/>
        <item x="43"/>
        <item x="471"/>
        <item x="29"/>
        <item x="502"/>
        <item x="358"/>
        <item x="557"/>
        <item x="591"/>
        <item x="34"/>
        <item x="623"/>
        <item x="611"/>
        <item x="568"/>
        <item x="184"/>
        <item x="229"/>
        <item x="465"/>
        <item x="423"/>
        <item x="405"/>
        <item x="609"/>
        <item x="493"/>
        <item x="461"/>
        <item x="531"/>
        <item x="638"/>
        <item x="642"/>
        <item x="526"/>
        <item x="643"/>
        <item x="614"/>
        <item x="589"/>
        <item x="3"/>
        <item x="38"/>
        <item x="525"/>
        <item x="566"/>
        <item x="149"/>
        <item x="298"/>
        <item x="647"/>
        <item x="132"/>
        <item x="18"/>
        <item x="283"/>
        <item x="527"/>
        <item x="230"/>
        <item x="254"/>
        <item x="467"/>
        <item x="36"/>
        <item x="196"/>
        <item x="439"/>
        <item x="335"/>
        <item x="290"/>
        <item x="307"/>
        <item x="353"/>
        <item x="221"/>
        <item x="288"/>
        <item x="359"/>
        <item x="85"/>
        <item x="339"/>
        <item x="391"/>
        <item x="464"/>
        <item x="418"/>
        <item x="466"/>
        <item x="629"/>
        <item x="491"/>
        <item x="413"/>
        <item x="363"/>
        <item x="264"/>
        <item x="84"/>
        <item x="198"/>
        <item x="155"/>
        <item x="354"/>
        <item x="663"/>
        <item x="112"/>
        <item x="305"/>
        <item x="203"/>
        <item x="47"/>
        <item x="100"/>
        <item x="457"/>
        <item x="76"/>
        <item x="225"/>
        <item x="130"/>
        <item x="656"/>
        <item x="320"/>
        <item x="197"/>
        <item x="92"/>
        <item x="144"/>
        <item x="538"/>
        <item x="207"/>
        <item x="80"/>
        <item x="133"/>
        <item x="211"/>
        <item x="99"/>
        <item x="31"/>
        <item x="42"/>
        <item x="528"/>
        <item x="635"/>
        <item x="324"/>
        <item x="235"/>
        <item x="664"/>
        <item x="628"/>
        <item x="522"/>
        <item x="8"/>
        <item x="323"/>
        <item x="497"/>
        <item x="35"/>
        <item x="240"/>
        <item x="278"/>
        <item x="311"/>
        <item x="81"/>
        <item x="105"/>
        <item x="543"/>
        <item x="534"/>
        <item x="399"/>
        <item x="241"/>
        <item x="259"/>
        <item x="299"/>
        <item x="46"/>
        <item x="365"/>
        <item x="162"/>
        <item x="352"/>
        <item x="351"/>
        <item x="651"/>
        <item x="108"/>
        <item x="541"/>
        <item x="503"/>
        <item x="475"/>
        <item x="10"/>
        <item x="7"/>
        <item x="410"/>
        <item x="19"/>
        <item x="293"/>
        <item x="519"/>
        <item x="103"/>
        <item x="409"/>
        <item x="303"/>
        <item x="219"/>
        <item x="512"/>
        <item x="236"/>
        <item x="306"/>
        <item x="111"/>
        <item x="180"/>
        <item x="630"/>
        <item x="173"/>
        <item x="437"/>
        <item x="313"/>
        <item x="210"/>
        <item x="143"/>
        <item x="234"/>
        <item x="202"/>
        <item x="72"/>
        <item x="25"/>
        <item x="571"/>
        <item x="675"/>
        <item x="304"/>
        <item x="190"/>
        <item x="125"/>
        <item x="532"/>
        <item x="456"/>
        <item x="201"/>
        <item x="172"/>
        <item x="406"/>
        <item x="428"/>
        <item x="261"/>
        <item x="484"/>
        <item x="21"/>
        <item x="232"/>
        <item x="627"/>
        <item x="626"/>
        <item x="476"/>
        <item x="432"/>
        <item x="485"/>
        <item x="89"/>
        <item x="310"/>
        <item x="253"/>
        <item x="370"/>
        <item x="513"/>
        <item x="346"/>
        <item x="285"/>
        <item x="607"/>
        <item x="182"/>
        <item x="11"/>
        <item x="646"/>
        <item x="123"/>
        <item x="215"/>
        <item x="226"/>
        <item x="624"/>
        <item x="601"/>
        <item x="270"/>
        <item x="393"/>
        <item x="50"/>
        <item x="75"/>
        <item x="470"/>
        <item x="131"/>
        <item x="195"/>
        <item x="233"/>
        <item x="167"/>
        <item x="397"/>
        <item x="407"/>
        <item x="238"/>
        <item x="373"/>
        <item x="340"/>
        <item x="660"/>
        <item x="436"/>
        <item x="639"/>
        <item x="608"/>
        <item x="668"/>
        <item x="20"/>
        <item x="575"/>
        <item x="224"/>
        <item x="194"/>
        <item x="67"/>
        <item x="422"/>
        <item x="462"/>
        <item x="617"/>
        <item x="245"/>
        <item x="414"/>
        <item x="64"/>
        <item x="604"/>
        <item x="632"/>
        <item x="362"/>
        <item x="478"/>
        <item x="109"/>
        <item x="333"/>
        <item x="334"/>
        <item x="347"/>
        <item x="448"/>
        <item x="39"/>
        <item x="247"/>
        <item x="118"/>
        <item x="179"/>
        <item x="564"/>
        <item x="387"/>
        <item x="530"/>
        <item x="429"/>
        <item x="154"/>
        <item x="287"/>
        <item x="625"/>
        <item x="58"/>
        <item x="631"/>
        <item x="315"/>
        <item x="150"/>
        <item x="430"/>
        <item x="618"/>
        <item x="205"/>
        <item x="24"/>
        <item x="213"/>
        <item x="79"/>
        <item x="275"/>
        <item x="145"/>
        <item x="404"/>
        <item x="565"/>
        <item x="209"/>
        <item x="96"/>
        <item x="71"/>
        <item x="529"/>
        <item x="28"/>
        <item x="265"/>
        <item x="563"/>
        <item x="535"/>
        <item x="206"/>
        <item x="267"/>
        <item x="257"/>
        <item x="159"/>
        <item x="621"/>
        <item x="375"/>
        <item x="289"/>
        <item x="189"/>
        <item x="302"/>
        <item x="481"/>
        <item x="640"/>
        <item x="666"/>
        <item x="548"/>
        <item x="136"/>
        <item x="582"/>
        <item x="453"/>
        <item x="542"/>
        <item x="93"/>
        <item x="403"/>
        <item x="420"/>
        <item x="276"/>
        <item x="263"/>
        <item x="579"/>
        <item x="558"/>
        <item x="463"/>
        <item x="438"/>
        <item x="341"/>
        <item x="309"/>
        <item x="449"/>
        <item x="328"/>
        <item x="533"/>
        <item x="590"/>
        <item x="90"/>
        <item x="662"/>
        <item t="default"/>
      </items>
    </pivotField>
    <pivotField numFmtId="14" showAll="0"/>
    <pivotField showAll="0"/>
    <pivotField showAll="0">
      <items count="6">
        <item x="0"/>
        <item x="4"/>
        <item x="1"/>
        <item x="2"/>
        <item x="3"/>
        <item t="default"/>
      </items>
    </pivotField>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v="1"/>
    </i>
    <i>
      <x v="3"/>
    </i>
    <i>
      <x v="2"/>
    </i>
    <i>
      <x/>
    </i>
    <i t="grand">
      <x/>
    </i>
  </rowItems>
  <colItems count="1">
    <i/>
  </colItems>
  <dataFields count="1">
    <dataField name="Count of Candidat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C5A2EC-7842-4924-982A-492E47F683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1:C16" firstHeaderRow="1" firstDataRow="1" firstDataCol="1"/>
  <pivotFields count="18">
    <pivotField dataField="1" showAll="0"/>
    <pivotField showAll="0"/>
    <pivotField showAll="0"/>
    <pivotField showAll="0">
      <items count="3">
        <item x="0"/>
        <item x="1"/>
        <item t="default"/>
      </items>
    </pivotField>
    <pivotField showAll="0"/>
    <pivotField showAll="0"/>
    <pivotField showAll="0">
      <items count="6">
        <item x="0"/>
        <item x="4"/>
        <item x="3"/>
        <item x="2"/>
        <item x="1"/>
        <item t="default"/>
      </items>
    </pivotField>
    <pivotField showAll="0">
      <items count="6">
        <item x="3"/>
        <item x="4"/>
        <item x="0"/>
        <item x="1"/>
        <item x="2"/>
        <item t="default"/>
      </items>
    </pivotField>
    <pivotField numFmtId="14" showAll="0">
      <items count="678">
        <item x="641"/>
        <item x="622"/>
        <item x="282"/>
        <item x="294"/>
        <item x="332"/>
        <item x="474"/>
        <item x="153"/>
        <item x="540"/>
        <item x="110"/>
        <item x="388"/>
        <item x="88"/>
        <item x="177"/>
        <item x="509"/>
        <item x="472"/>
        <item x="44"/>
        <item x="379"/>
        <item x="77"/>
        <item x="12"/>
        <item x="98"/>
        <item x="615"/>
        <item x="560"/>
        <item x="156"/>
        <item x="482"/>
        <item x="606"/>
        <item x="349"/>
        <item x="670"/>
        <item x="52"/>
        <item x="479"/>
        <item x="671"/>
        <item x="271"/>
        <item x="183"/>
        <item x="170"/>
        <item x="496"/>
        <item x="314"/>
        <item x="674"/>
        <item x="142"/>
        <item x="41"/>
        <item x="536"/>
        <item x="51"/>
        <item x="248"/>
        <item x="593"/>
        <item x="68"/>
        <item x="266"/>
        <item x="596"/>
        <item x="516"/>
        <item x="648"/>
        <item x="344"/>
        <item x="597"/>
        <item x="389"/>
        <item x="301"/>
        <item x="65"/>
        <item x="86"/>
        <item x="602"/>
        <item x="122"/>
        <item x="495"/>
        <item x="652"/>
        <item x="326"/>
        <item x="330"/>
        <item x="280"/>
        <item x="57"/>
        <item x="329"/>
        <item x="381"/>
        <item x="511"/>
        <item x="124"/>
        <item x="322"/>
        <item x="27"/>
        <item x="637"/>
        <item x="492"/>
        <item x="372"/>
        <item x="208"/>
        <item x="367"/>
        <item x="380"/>
        <item x="134"/>
        <item x="116"/>
        <item x="521"/>
        <item x="139"/>
        <item x="377"/>
        <item x="599"/>
        <item x="185"/>
        <item x="22"/>
        <item x="325"/>
        <item x="506"/>
        <item x="55"/>
        <item x="570"/>
        <item x="401"/>
        <item x="610"/>
        <item x="445"/>
        <item x="117"/>
        <item x="505"/>
        <item x="73"/>
        <item x="452"/>
        <item x="355"/>
        <item x="350"/>
        <item x="587"/>
        <item x="581"/>
        <item x="212"/>
        <item x="126"/>
        <item x="508"/>
        <item x="369"/>
        <item x="157"/>
        <item x="228"/>
        <item x="186"/>
        <item x="576"/>
        <item x="676"/>
        <item x="106"/>
        <item x="672"/>
        <item x="480"/>
        <item x="242"/>
        <item x="514"/>
        <item x="95"/>
        <item x="447"/>
        <item x="520"/>
        <item x="272"/>
        <item x="416"/>
        <item x="499"/>
        <item x="239"/>
        <item x="62"/>
        <item x="26"/>
        <item x="434"/>
        <item x="487"/>
        <item x="82"/>
        <item x="127"/>
        <item x="53"/>
        <item x="383"/>
        <item x="102"/>
        <item x="188"/>
        <item x="163"/>
        <item x="539"/>
        <item x="237"/>
        <item x="605"/>
        <item x="292"/>
        <item x="63"/>
        <item x="454"/>
        <item x="160"/>
        <item x="659"/>
        <item x="281"/>
        <item x="612"/>
        <item x="174"/>
        <item x="251"/>
        <item x="223"/>
        <item x="592"/>
        <item x="176"/>
        <item x="577"/>
        <item x="107"/>
        <item x="200"/>
        <item x="669"/>
        <item x="553"/>
        <item x="440"/>
        <item x="9"/>
        <item x="555"/>
        <item x="567"/>
        <item x="661"/>
        <item x="490"/>
        <item x="441"/>
        <item x="78"/>
        <item x="342"/>
        <item x="400"/>
        <item x="101"/>
        <item x="244"/>
        <item x="518"/>
        <item x="552"/>
        <item x="494"/>
        <item x="227"/>
        <item x="6"/>
        <item x="578"/>
        <item x="256"/>
        <item x="128"/>
        <item x="545"/>
        <item x="217"/>
        <item x="562"/>
        <item x="524"/>
        <item x="222"/>
        <item x="161"/>
        <item x="673"/>
        <item x="343"/>
        <item x="402"/>
        <item x="175"/>
        <item x="181"/>
        <item x="415"/>
        <item x="386"/>
        <item x="360"/>
        <item x="444"/>
        <item x="382"/>
        <item x="584"/>
        <item x="634"/>
        <item x="61"/>
        <item x="300"/>
        <item x="146"/>
        <item x="469"/>
        <item x="433"/>
        <item x="468"/>
        <item x="113"/>
        <item x="425"/>
        <item x="258"/>
        <item x="165"/>
        <item x="138"/>
        <item x="658"/>
        <item x="446"/>
        <item x="435"/>
        <item x="394"/>
        <item x="398"/>
        <item x="15"/>
        <item x="338"/>
        <item x="544"/>
        <item x="56"/>
        <item x="654"/>
        <item x="523"/>
        <item x="633"/>
        <item x="412"/>
        <item x="655"/>
        <item x="33"/>
        <item x="345"/>
        <item x="48"/>
        <item x="14"/>
        <item x="141"/>
        <item x="547"/>
        <item x="559"/>
        <item x="135"/>
        <item x="192"/>
        <item x="546"/>
        <item x="318"/>
        <item x="551"/>
        <item x="218"/>
        <item x="91"/>
        <item x="427"/>
        <item x="250"/>
        <item x="573"/>
        <item x="49"/>
        <item x="296"/>
        <item x="316"/>
        <item x="368"/>
        <item x="583"/>
        <item x="5"/>
        <item x="17"/>
        <item x="644"/>
        <item x="657"/>
        <item x="460"/>
        <item x="336"/>
        <item x="667"/>
        <item x="1"/>
        <item x="148"/>
        <item x="424"/>
        <item x="431"/>
        <item x="137"/>
        <item x="361"/>
        <item x="348"/>
        <item x="510"/>
        <item x="613"/>
        <item x="665"/>
        <item x="384"/>
        <item x="274"/>
        <item x="588"/>
        <item x="378"/>
        <item x="291"/>
        <item x="586"/>
        <item x="60"/>
        <item x="569"/>
        <item x="74"/>
        <item x="500"/>
        <item x="97"/>
        <item x="23"/>
        <item x="262"/>
        <item x="151"/>
        <item x="364"/>
        <item x="243"/>
        <item x="653"/>
        <item x="297"/>
        <item x="498"/>
        <item x="319"/>
        <item x="104"/>
        <item x="321"/>
        <item x="120"/>
        <item x="395"/>
        <item x="561"/>
        <item x="501"/>
        <item x="603"/>
        <item x="269"/>
        <item x="426"/>
        <item x="408"/>
        <item x="255"/>
        <item x="455"/>
        <item x="616"/>
        <item x="574"/>
        <item x="517"/>
        <item x="419"/>
        <item x="70"/>
        <item x="273"/>
        <item x="356"/>
        <item x="504"/>
        <item x="284"/>
        <item x="54"/>
        <item x="193"/>
        <item x="199"/>
        <item x="507"/>
        <item x="204"/>
        <item x="411"/>
        <item x="376"/>
        <item x="171"/>
        <item x="249"/>
        <item x="317"/>
        <item x="2"/>
        <item x="390"/>
        <item x="312"/>
        <item x="458"/>
        <item x="140"/>
        <item x="32"/>
        <item x="620"/>
        <item x="477"/>
        <item x="231"/>
        <item x="69"/>
        <item x="83"/>
        <item x="366"/>
        <item x="443"/>
        <item x="214"/>
        <item x="636"/>
        <item x="549"/>
        <item x="115"/>
        <item x="191"/>
        <item x="392"/>
        <item x="385"/>
        <item x="246"/>
        <item x="417"/>
        <item x="129"/>
        <item x="600"/>
        <item x="87"/>
        <item x="168"/>
        <item x="374"/>
        <item x="550"/>
        <item x="169"/>
        <item x="187"/>
        <item x="216"/>
        <item x="166"/>
        <item x="268"/>
        <item x="396"/>
        <item x="327"/>
        <item x="277"/>
        <item x="0"/>
        <item x="595"/>
        <item x="4"/>
        <item x="649"/>
        <item x="572"/>
        <item x="580"/>
        <item x="158"/>
        <item x="371"/>
        <item x="260"/>
        <item x="619"/>
        <item x="119"/>
        <item x="220"/>
        <item x="121"/>
        <item x="537"/>
        <item x="357"/>
        <item x="459"/>
        <item x="451"/>
        <item x="645"/>
        <item x="473"/>
        <item x="442"/>
        <item x="308"/>
        <item x="295"/>
        <item x="178"/>
        <item x="450"/>
        <item x="152"/>
        <item x="337"/>
        <item x="488"/>
        <item x="515"/>
        <item x="30"/>
        <item x="279"/>
        <item x="556"/>
        <item x="59"/>
        <item x="40"/>
        <item x="554"/>
        <item x="16"/>
        <item x="585"/>
        <item x="598"/>
        <item x="486"/>
        <item x="37"/>
        <item x="489"/>
        <item x="66"/>
        <item x="114"/>
        <item x="594"/>
        <item x="94"/>
        <item x="286"/>
        <item x="252"/>
        <item x="147"/>
        <item x="164"/>
        <item x="13"/>
        <item x="483"/>
        <item x="421"/>
        <item x="650"/>
        <item x="45"/>
        <item x="331"/>
        <item x="43"/>
        <item x="471"/>
        <item x="29"/>
        <item x="502"/>
        <item x="358"/>
        <item x="557"/>
        <item x="591"/>
        <item x="34"/>
        <item x="623"/>
        <item x="611"/>
        <item x="568"/>
        <item x="184"/>
        <item x="229"/>
        <item x="465"/>
        <item x="423"/>
        <item x="405"/>
        <item x="609"/>
        <item x="493"/>
        <item x="461"/>
        <item x="531"/>
        <item x="638"/>
        <item x="642"/>
        <item x="526"/>
        <item x="643"/>
        <item x="614"/>
        <item x="589"/>
        <item x="3"/>
        <item x="38"/>
        <item x="525"/>
        <item x="566"/>
        <item x="149"/>
        <item x="298"/>
        <item x="647"/>
        <item x="132"/>
        <item x="18"/>
        <item x="283"/>
        <item x="527"/>
        <item x="230"/>
        <item x="254"/>
        <item x="467"/>
        <item x="36"/>
        <item x="196"/>
        <item x="439"/>
        <item x="335"/>
        <item x="290"/>
        <item x="307"/>
        <item x="353"/>
        <item x="221"/>
        <item x="288"/>
        <item x="359"/>
        <item x="85"/>
        <item x="339"/>
        <item x="391"/>
        <item x="464"/>
        <item x="418"/>
        <item x="466"/>
        <item x="629"/>
        <item x="491"/>
        <item x="413"/>
        <item x="363"/>
        <item x="264"/>
        <item x="84"/>
        <item x="198"/>
        <item x="155"/>
        <item x="354"/>
        <item x="663"/>
        <item x="112"/>
        <item x="305"/>
        <item x="203"/>
        <item x="47"/>
        <item x="100"/>
        <item x="457"/>
        <item x="76"/>
        <item x="225"/>
        <item x="130"/>
        <item x="656"/>
        <item x="320"/>
        <item x="197"/>
        <item x="92"/>
        <item x="144"/>
        <item x="538"/>
        <item x="207"/>
        <item x="80"/>
        <item x="133"/>
        <item x="211"/>
        <item x="99"/>
        <item x="31"/>
        <item x="42"/>
        <item x="528"/>
        <item x="635"/>
        <item x="324"/>
        <item x="235"/>
        <item x="664"/>
        <item x="628"/>
        <item x="522"/>
        <item x="8"/>
        <item x="323"/>
        <item x="497"/>
        <item x="35"/>
        <item x="240"/>
        <item x="278"/>
        <item x="311"/>
        <item x="81"/>
        <item x="105"/>
        <item x="543"/>
        <item x="534"/>
        <item x="399"/>
        <item x="241"/>
        <item x="259"/>
        <item x="299"/>
        <item x="46"/>
        <item x="365"/>
        <item x="162"/>
        <item x="352"/>
        <item x="351"/>
        <item x="651"/>
        <item x="108"/>
        <item x="541"/>
        <item x="503"/>
        <item x="475"/>
        <item x="10"/>
        <item x="7"/>
        <item x="410"/>
        <item x="19"/>
        <item x="293"/>
        <item x="519"/>
        <item x="103"/>
        <item x="409"/>
        <item x="303"/>
        <item x="219"/>
        <item x="512"/>
        <item x="236"/>
        <item x="306"/>
        <item x="111"/>
        <item x="180"/>
        <item x="630"/>
        <item x="173"/>
        <item x="437"/>
        <item x="313"/>
        <item x="210"/>
        <item x="143"/>
        <item x="234"/>
        <item x="202"/>
        <item x="72"/>
        <item x="25"/>
        <item x="571"/>
        <item x="675"/>
        <item x="304"/>
        <item x="190"/>
        <item x="125"/>
        <item x="532"/>
        <item x="456"/>
        <item x="201"/>
        <item x="172"/>
        <item x="406"/>
        <item x="428"/>
        <item x="261"/>
        <item x="484"/>
        <item x="21"/>
        <item x="232"/>
        <item x="627"/>
        <item x="626"/>
        <item x="476"/>
        <item x="432"/>
        <item x="485"/>
        <item x="89"/>
        <item x="310"/>
        <item x="253"/>
        <item x="370"/>
        <item x="513"/>
        <item x="346"/>
        <item x="285"/>
        <item x="607"/>
        <item x="182"/>
        <item x="11"/>
        <item x="646"/>
        <item x="123"/>
        <item x="215"/>
        <item x="226"/>
        <item x="624"/>
        <item x="601"/>
        <item x="270"/>
        <item x="393"/>
        <item x="50"/>
        <item x="75"/>
        <item x="470"/>
        <item x="131"/>
        <item x="195"/>
        <item x="233"/>
        <item x="167"/>
        <item x="397"/>
        <item x="407"/>
        <item x="238"/>
        <item x="373"/>
        <item x="340"/>
        <item x="660"/>
        <item x="436"/>
        <item x="639"/>
        <item x="608"/>
        <item x="668"/>
        <item x="20"/>
        <item x="575"/>
        <item x="224"/>
        <item x="194"/>
        <item x="67"/>
        <item x="422"/>
        <item x="462"/>
        <item x="617"/>
        <item x="245"/>
        <item x="414"/>
        <item x="64"/>
        <item x="604"/>
        <item x="632"/>
        <item x="362"/>
        <item x="478"/>
        <item x="109"/>
        <item x="333"/>
        <item x="334"/>
        <item x="347"/>
        <item x="448"/>
        <item x="39"/>
        <item x="247"/>
        <item x="118"/>
        <item x="179"/>
        <item x="564"/>
        <item x="387"/>
        <item x="530"/>
        <item x="429"/>
        <item x="154"/>
        <item x="287"/>
        <item x="625"/>
        <item x="58"/>
        <item x="631"/>
        <item x="315"/>
        <item x="150"/>
        <item x="430"/>
        <item x="618"/>
        <item x="205"/>
        <item x="24"/>
        <item x="213"/>
        <item x="79"/>
        <item x="275"/>
        <item x="145"/>
        <item x="404"/>
        <item x="565"/>
        <item x="209"/>
        <item x="96"/>
        <item x="71"/>
        <item x="529"/>
        <item x="28"/>
        <item x="265"/>
        <item x="563"/>
        <item x="535"/>
        <item x="206"/>
        <item x="267"/>
        <item x="257"/>
        <item x="159"/>
        <item x="621"/>
        <item x="375"/>
        <item x="289"/>
        <item x="189"/>
        <item x="302"/>
        <item x="481"/>
        <item x="640"/>
        <item x="666"/>
        <item x="548"/>
        <item x="136"/>
        <item x="582"/>
        <item x="453"/>
        <item x="542"/>
        <item x="93"/>
        <item x="403"/>
        <item x="420"/>
        <item x="276"/>
        <item x="263"/>
        <item x="579"/>
        <item x="558"/>
        <item x="463"/>
        <item x="438"/>
        <item x="341"/>
        <item x="309"/>
        <item x="449"/>
        <item x="328"/>
        <item x="533"/>
        <item x="590"/>
        <item x="90"/>
        <item x="662"/>
        <item t="default"/>
      </items>
    </pivotField>
    <pivotField numFmtId="14" showAll="0"/>
    <pivotField showAll="0"/>
    <pivotField showAll="0">
      <items count="6">
        <item x="0"/>
        <item x="4"/>
        <item x="1"/>
        <item x="2"/>
        <item x="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7"/>
    <field x="15"/>
  </rowFields>
  <rowItems count="5">
    <i>
      <x v="1"/>
    </i>
    <i>
      <x v="2"/>
    </i>
    <i>
      <x v="3"/>
    </i>
    <i>
      <x v="4"/>
    </i>
    <i t="grand">
      <x/>
    </i>
  </rowItems>
  <colItems count="1">
    <i/>
  </colItems>
  <dataFields count="1">
    <dataField name="Count of Candidate_ID" fld="0" subtotal="count" baseField="0" baseItem="0"/>
  </dataFields>
  <chartFormats count="5">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7" count="1" selected="0">
            <x v="3"/>
          </reference>
        </references>
      </pivotArea>
    </chartFormat>
    <chartFormat chart="14" format="4">
      <pivotArea type="data" outline="0" fieldPosition="0">
        <references count="2">
          <reference field="4294967294" count="1" selected="0">
            <x v="0"/>
          </reference>
          <reference field="17" count="1" selected="0">
            <x v="4"/>
          </reference>
        </references>
      </pivotArea>
    </chartFormat>
    <chartFormat chart="14" format="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10995E2-D65C-4D5E-AEA0-D2BDBEC3B909}" sourceName="Gender">
  <pivotTables>
    <pivotTable tabId="5" name="PivotTable4"/>
    <pivotTable tabId="6" name="PivotTable6"/>
    <pivotTable tabId="2" name="PivotTable2"/>
  </pivotTables>
  <data>
    <tabular pivotCacheId="3994230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A0FD8B90-2F13-43DE-96D5-9EA2C092463D}" sourceName="Position">
  <pivotTables>
    <pivotTable tabId="5" name="PivotTable4"/>
    <pivotTable tabId="6" name="PivotTable6"/>
    <pivotTable tabId="2" name="PivotTable1"/>
    <pivotTable tabId="2" name="PivotTable2"/>
    <pivotTable tabId="5" name="PivotTable5"/>
  </pivotTables>
  <data>
    <tabular pivotCacheId="399423085">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4C7B946-52DD-4D7B-835D-AA904EB4FCA3}" sourceName="Location">
  <pivotTables>
    <pivotTable tabId="5" name="PivotTable4"/>
    <pivotTable tabId="6" name="PivotTable6"/>
    <pivotTable tabId="2" name="PivotTable1"/>
    <pivotTable tabId="2" name="PivotTable2"/>
    <pivotTable tabId="5" name="PivotTable5"/>
  </pivotTables>
  <data>
    <tabular pivotCacheId="399423085">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A9D36798-A120-4DA3-B68D-DB8A4E29F142}" sourceName="Experience_Years">
  <pivotTables>
    <pivotTable tabId="5" name="PivotTable4"/>
    <pivotTable tabId="6" name="PivotTable6"/>
    <pivotTable tabId="2" name="PivotTable1"/>
    <pivotTable tabId="2" name="PivotTable2"/>
    <pivotTable tabId="5" name="PivotTable5"/>
  </pivotTables>
  <data>
    <tabular pivotCacheId="399423085">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FCA101F-A583-43F6-990A-36B800E80471}" cache="Slicer_Gender" caption="Gender" rowHeight="234950"/>
  <slicer name="Position" xr10:uid="{3EB02F9E-BDF8-438F-AE3B-525183E06AA6}" cache="Slicer_Position" caption="Position" rowHeight="234950"/>
  <slicer name="Location" xr10:uid="{11FD7494-3A16-41CE-A201-C34416B6BDC7}" cache="Slicer_Location" caption="Location" rowHeight="234950"/>
  <slicer name="Experience_Years" xr10:uid="{9215723B-3215-4099-92B5-2748CB3F4182}" cache="Slicer_Experience_Years" caption="Experience_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9702901-DB94-4E54-AF50-7148AFC658AF}" cache="Slicer_Gender" caption="Gender" style="SlicerStyleDark2" rowHeight="234950"/>
  <slicer name="Position 1" xr10:uid="{019DD55B-F4DA-47AF-B15E-53ED1227A60C}" cache="Slicer_Position" caption="Position" style="SlicerStyleLight6" rowHeight="234950"/>
  <slicer name="Location 1" xr10:uid="{9BC601B1-5F8A-4A84-A370-9416FA1143AD}" cache="Slicer_Location" caption="Location" style="SlicerStyleLight4" rowHeight="234950"/>
  <slicer name="Experience_Years 1" xr10:uid="{A66450C5-7A8F-497E-A258-0D2343700B5D}" cache="Slicer_Experience_Years" caption="Experience_Years"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B9515-2737-4486-99AD-1638BF31A555}" name="Table1" displayName="Table1" ref="A1:O1001" totalsRowShown="0">
  <autoFilter ref="A1:O1001" xr:uid="{BA1B9515-2737-4486-99AD-1638BF31A555}"/>
  <tableColumns count="15">
    <tableColumn id="1" xr3:uid="{E39470A0-7A1D-4B9C-9726-B80210EC8A6A}" name="Candidate_ID"/>
    <tableColumn id="2" xr3:uid="{B60A4962-1B59-4321-8EB7-595ED9B5C9E5}" name="First_Name"/>
    <tableColumn id="3" xr3:uid="{8D02A723-79EF-472D-822E-642A75C80C12}" name="Last_Name"/>
    <tableColumn id="4" xr3:uid="{4F9ABBCC-8703-4EA4-B1A8-51BE934DA105}" name="Gender"/>
    <tableColumn id="5" xr3:uid="{A03F70D1-7B2E-4EE1-AA1A-EB4F01A60513}" name="Age"/>
    <tableColumn id="6" xr3:uid="{A7652BBD-23F7-4814-B4E0-47C0EE055E0D}" name="Source"/>
    <tableColumn id="7" xr3:uid="{FEB1B5DA-F168-497F-BF7A-3C7A94E8FF88}" name="Position"/>
    <tableColumn id="8" xr3:uid="{5E964A6F-81D7-4136-8FAB-C08FB93FC3C1}" name="Location"/>
    <tableColumn id="9" xr3:uid="{F1CCDD7F-CF7A-45F0-BAEC-53D5CF6834D8}" name="Application_Date" dataDxfId="1"/>
    <tableColumn id="10" xr3:uid="{8DD901FA-3F05-4ABA-B339-905CE201DCA7}" name="Interview_Date" dataDxfId="0"/>
    <tableColumn id="11" xr3:uid="{6D472A75-1FC8-4365-B959-6CD80E9D93E9}" name="Offer_Date"/>
    <tableColumn id="12" xr3:uid="{F29D790D-BD2A-4DC9-857C-355EEE6AAA38}" name="Experience_Years"/>
    <tableColumn id="13" xr3:uid="{4D6E99D1-C569-4481-A061-CFDA23A60E70}" name="Notice_Period_Days"/>
    <tableColumn id="14" xr3:uid="{DF2C4291-BC21-4FD3-85B0-5B3244857961}" name="Final_Status"/>
    <tableColumn id="15" xr3:uid="{4864ECFD-2C0B-4009-A0C1-D07D70FFE841}" name="Offered_Salary"/>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0AEB-5311-4DE8-A030-DC1E9569D5AD}">
  <dimension ref="A1:X1001"/>
  <sheetViews>
    <sheetView topLeftCell="K1" workbookViewId="0">
      <selection activeCell="W2" sqref="W2"/>
    </sheetView>
  </sheetViews>
  <sheetFormatPr defaultRowHeight="14.4" x14ac:dyDescent="0.3"/>
  <cols>
    <col min="1" max="1" width="14.21875" customWidth="1"/>
    <col min="2" max="2" width="12.33203125" customWidth="1"/>
    <col min="3" max="3" width="12.21875" customWidth="1"/>
    <col min="4" max="4" width="9" customWidth="1"/>
    <col min="7" max="7" width="16" bestFit="1" customWidth="1"/>
    <col min="8" max="8" width="10.109375" customWidth="1"/>
    <col min="9" max="9" width="17.33203125" customWidth="1"/>
    <col min="10" max="10" width="15.6640625" customWidth="1"/>
    <col min="11" max="11" width="12.109375" customWidth="1"/>
    <col min="12" max="12" width="17.44140625" customWidth="1"/>
    <col min="13" max="13" width="19.77734375" customWidth="1"/>
    <col min="14" max="14" width="13" customWidth="1"/>
    <col min="15" max="15" width="15.44140625" customWidth="1"/>
    <col min="21" max="21" width="16.44140625" bestFit="1" customWidth="1"/>
    <col min="22" max="22" width="13.109375" bestFit="1" customWidth="1"/>
    <col min="23" max="23" width="21" bestFit="1" customWidth="1"/>
    <col min="24" max="24" width="17.77734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U1" t="s">
        <v>1066</v>
      </c>
      <c r="V1" t="s">
        <v>1067</v>
      </c>
      <c r="W1" t="s">
        <v>1076</v>
      </c>
      <c r="X1" t="s">
        <v>1068</v>
      </c>
    </row>
    <row r="2" spans="1:24" x14ac:dyDescent="0.3">
      <c r="A2" t="s">
        <v>15</v>
      </c>
      <c r="B2" t="s">
        <v>16</v>
      </c>
      <c r="C2" t="s">
        <v>17</v>
      </c>
      <c r="D2" t="s">
        <v>18</v>
      </c>
      <c r="E2">
        <v>45</v>
      </c>
      <c r="F2" t="s">
        <v>19</v>
      </c>
      <c r="G2" t="s">
        <v>20</v>
      </c>
      <c r="H2" t="s">
        <v>21</v>
      </c>
      <c r="I2" s="1">
        <v>44796</v>
      </c>
      <c r="J2" s="1">
        <v>44810</v>
      </c>
      <c r="K2" s="1">
        <v>44817</v>
      </c>
      <c r="L2">
        <v>1</v>
      </c>
      <c r="M2">
        <v>8</v>
      </c>
      <c r="N2" t="s">
        <v>22</v>
      </c>
      <c r="O2">
        <v>446971</v>
      </c>
      <c r="U2">
        <f>Table1[[#This Row],[Interview_Date]]-Table1[[#This Row],[Application_Date]]</f>
        <v>14</v>
      </c>
      <c r="V2">
        <f>IF(OR(Table1[[#This Row],[Offer_Date]]="",Table1[[#This Row],[Interview_Date]]=""),"",Table1[[#This Row],[Offer_Date]]-Table1[[#This Row],[Interview_Date]])</f>
        <v>7</v>
      </c>
      <c r="W2" s="5">
        <f>AVERAGE(U2:U1001)</f>
        <v>9.0060000000000002</v>
      </c>
      <c r="X2" s="4">
        <f>AVERAGE(V2:V1001)</f>
        <v>4.5894941634241242</v>
      </c>
    </row>
    <row r="3" spans="1:24" x14ac:dyDescent="0.3">
      <c r="A3" t="s">
        <v>23</v>
      </c>
      <c r="B3" t="s">
        <v>24</v>
      </c>
      <c r="C3" t="s">
        <v>25</v>
      </c>
      <c r="D3" t="s">
        <v>26</v>
      </c>
      <c r="E3">
        <v>45</v>
      </c>
      <c r="F3" t="s">
        <v>19</v>
      </c>
      <c r="G3" t="s">
        <v>27</v>
      </c>
      <c r="H3" t="s">
        <v>21</v>
      </c>
      <c r="I3" s="1">
        <v>44630</v>
      </c>
      <c r="J3" s="1">
        <v>44640</v>
      </c>
      <c r="L3">
        <v>3</v>
      </c>
      <c r="M3">
        <v>4</v>
      </c>
      <c r="N3" t="s">
        <v>28</v>
      </c>
      <c r="O3">
        <v>1099288</v>
      </c>
      <c r="U3">
        <f>Table1[[#This Row],[Interview_Date]]-Table1[[#This Row],[Application_Date]]</f>
        <v>10</v>
      </c>
      <c r="V3" t="str">
        <f>IF(OR(Table1[[#This Row],[Offer_Date]]="",Table1[[#This Row],[Interview_Date]]=""),"",Table1[[#This Row],[Offer_Date]]-Table1[[#This Row],[Interview_Date]])</f>
        <v/>
      </c>
    </row>
    <row r="4" spans="1:24" x14ac:dyDescent="0.3">
      <c r="A4" t="s">
        <v>29</v>
      </c>
      <c r="B4" t="s">
        <v>24</v>
      </c>
      <c r="C4" t="s">
        <v>30</v>
      </c>
      <c r="D4" t="s">
        <v>18</v>
      </c>
      <c r="E4">
        <v>21</v>
      </c>
      <c r="F4" t="s">
        <v>31</v>
      </c>
      <c r="G4" t="s">
        <v>27</v>
      </c>
      <c r="H4" t="s">
        <v>21</v>
      </c>
      <c r="I4" s="1">
        <v>44738</v>
      </c>
      <c r="J4" s="1">
        <v>44749</v>
      </c>
      <c r="L4">
        <v>4</v>
      </c>
      <c r="M4">
        <v>3</v>
      </c>
      <c r="N4" t="s">
        <v>28</v>
      </c>
      <c r="O4">
        <v>1159035</v>
      </c>
      <c r="U4">
        <f>Table1[[#This Row],[Interview_Date]]-Table1[[#This Row],[Application_Date]]</f>
        <v>11</v>
      </c>
      <c r="V4" t="str">
        <f>IF(OR(Table1[[#This Row],[Offer_Date]]="",Table1[[#This Row],[Interview_Date]]=""),"",Table1[[#This Row],[Offer_Date]]-Table1[[#This Row],[Interview_Date]])</f>
        <v/>
      </c>
    </row>
    <row r="5" spans="1:24" x14ac:dyDescent="0.3">
      <c r="A5" t="s">
        <v>32</v>
      </c>
      <c r="B5" t="s">
        <v>33</v>
      </c>
      <c r="C5" t="s">
        <v>30</v>
      </c>
      <c r="D5" t="s">
        <v>26</v>
      </c>
      <c r="E5">
        <v>26</v>
      </c>
      <c r="F5" t="s">
        <v>34</v>
      </c>
      <c r="G5" t="s">
        <v>35</v>
      </c>
      <c r="H5" t="s">
        <v>36</v>
      </c>
      <c r="I5" s="1">
        <v>44935</v>
      </c>
      <c r="J5" s="1">
        <v>44945</v>
      </c>
      <c r="L5">
        <v>5</v>
      </c>
      <c r="M5">
        <v>4</v>
      </c>
      <c r="N5" t="s">
        <v>28</v>
      </c>
      <c r="O5">
        <v>970623</v>
      </c>
      <c r="U5">
        <f>Table1[[#This Row],[Interview_Date]]-Table1[[#This Row],[Application_Date]]</f>
        <v>10</v>
      </c>
      <c r="V5" t="str">
        <f>IF(OR(Table1[[#This Row],[Offer_Date]]="",Table1[[#This Row],[Interview_Date]]=""),"",Table1[[#This Row],[Offer_Date]]-Table1[[#This Row],[Interview_Date]])</f>
        <v/>
      </c>
    </row>
    <row r="6" spans="1:24" x14ac:dyDescent="0.3">
      <c r="A6" t="s">
        <v>37</v>
      </c>
      <c r="B6" t="s">
        <v>38</v>
      </c>
      <c r="C6" t="s">
        <v>30</v>
      </c>
      <c r="D6" t="s">
        <v>26</v>
      </c>
      <c r="E6">
        <v>40</v>
      </c>
      <c r="F6" t="s">
        <v>39</v>
      </c>
      <c r="G6" t="s">
        <v>27</v>
      </c>
      <c r="H6" t="s">
        <v>40</v>
      </c>
      <c r="I6" s="1">
        <v>44801</v>
      </c>
      <c r="J6" s="1">
        <v>44812</v>
      </c>
      <c r="K6" s="1">
        <v>44818</v>
      </c>
      <c r="L6">
        <v>4</v>
      </c>
      <c r="M6">
        <v>10</v>
      </c>
      <c r="N6" t="s">
        <v>28</v>
      </c>
      <c r="O6">
        <v>788158</v>
      </c>
      <c r="U6">
        <f>Table1[[#This Row],[Interview_Date]]-Table1[[#This Row],[Application_Date]]</f>
        <v>11</v>
      </c>
      <c r="V6">
        <f>IF(OR(Table1[[#This Row],[Offer_Date]]="",Table1[[#This Row],[Interview_Date]]=""),"",Table1[[#This Row],[Offer_Date]]-Table1[[#This Row],[Interview_Date]])</f>
        <v>6</v>
      </c>
    </row>
    <row r="7" spans="1:24" x14ac:dyDescent="0.3">
      <c r="A7" t="s">
        <v>41</v>
      </c>
      <c r="B7" t="s">
        <v>42</v>
      </c>
      <c r="C7" t="s">
        <v>43</v>
      </c>
      <c r="D7" t="s">
        <v>26</v>
      </c>
      <c r="E7">
        <v>26</v>
      </c>
      <c r="F7" t="s">
        <v>34</v>
      </c>
      <c r="G7" t="s">
        <v>44</v>
      </c>
      <c r="H7" t="s">
        <v>36</v>
      </c>
      <c r="I7" s="1">
        <v>44620</v>
      </c>
      <c r="J7" s="1">
        <v>44625</v>
      </c>
      <c r="K7" s="1">
        <v>44632</v>
      </c>
      <c r="L7">
        <v>2</v>
      </c>
      <c r="M7">
        <v>7</v>
      </c>
      <c r="N7" t="s">
        <v>45</v>
      </c>
      <c r="O7">
        <v>639010</v>
      </c>
      <c r="U7">
        <f>Table1[[#This Row],[Interview_Date]]-Table1[[#This Row],[Application_Date]]</f>
        <v>5</v>
      </c>
      <c r="V7">
        <f>IF(OR(Table1[[#This Row],[Offer_Date]]="",Table1[[#This Row],[Interview_Date]]=""),"",Table1[[#This Row],[Offer_Date]]-Table1[[#This Row],[Interview_Date]])</f>
        <v>7</v>
      </c>
    </row>
    <row r="8" spans="1:24" x14ac:dyDescent="0.3">
      <c r="A8" t="s">
        <v>46</v>
      </c>
      <c r="B8" t="s">
        <v>47</v>
      </c>
      <c r="C8" t="s">
        <v>43</v>
      </c>
      <c r="D8" t="s">
        <v>18</v>
      </c>
      <c r="E8">
        <v>21</v>
      </c>
      <c r="F8" t="s">
        <v>39</v>
      </c>
      <c r="G8" t="s">
        <v>44</v>
      </c>
      <c r="H8" t="s">
        <v>21</v>
      </c>
      <c r="I8" s="1">
        <v>44491</v>
      </c>
      <c r="J8" s="1">
        <v>44498</v>
      </c>
      <c r="L8">
        <v>3</v>
      </c>
      <c r="M8">
        <v>6</v>
      </c>
      <c r="N8" t="s">
        <v>48</v>
      </c>
      <c r="O8">
        <v>1139265</v>
      </c>
      <c r="U8">
        <f>Table1[[#This Row],[Interview_Date]]-Table1[[#This Row],[Application_Date]]</f>
        <v>7</v>
      </c>
      <c r="V8" t="str">
        <f>IF(OR(Table1[[#This Row],[Offer_Date]]="",Table1[[#This Row],[Interview_Date]]=""),"",Table1[[#This Row],[Offer_Date]]-Table1[[#This Row],[Interview_Date]])</f>
        <v/>
      </c>
    </row>
    <row r="9" spans="1:24" x14ac:dyDescent="0.3">
      <c r="A9" t="s">
        <v>49</v>
      </c>
      <c r="B9" t="s">
        <v>38</v>
      </c>
      <c r="C9" t="s">
        <v>50</v>
      </c>
      <c r="D9" t="s">
        <v>18</v>
      </c>
      <c r="E9">
        <v>38</v>
      </c>
      <c r="F9" t="s">
        <v>39</v>
      </c>
      <c r="G9" t="s">
        <v>20</v>
      </c>
      <c r="H9" t="s">
        <v>51</v>
      </c>
      <c r="I9" s="1">
        <v>45099</v>
      </c>
      <c r="J9" s="1">
        <v>45107</v>
      </c>
      <c r="K9" s="1">
        <v>45111</v>
      </c>
      <c r="L9">
        <v>3</v>
      </c>
      <c r="M9">
        <v>4</v>
      </c>
      <c r="N9" t="s">
        <v>22</v>
      </c>
      <c r="O9">
        <v>383977</v>
      </c>
      <c r="Q9" t="s">
        <v>1065</v>
      </c>
      <c r="U9">
        <f>Table1[[#This Row],[Interview_Date]]-Table1[[#This Row],[Application_Date]]</f>
        <v>8</v>
      </c>
      <c r="V9">
        <f>IF(OR(Table1[[#This Row],[Offer_Date]]="",Table1[[#This Row],[Interview_Date]]=""),"",Table1[[#This Row],[Offer_Date]]-Table1[[#This Row],[Interview_Date]])</f>
        <v>4</v>
      </c>
    </row>
    <row r="10" spans="1:24" x14ac:dyDescent="0.3">
      <c r="A10" t="s">
        <v>52</v>
      </c>
      <c r="B10" t="s">
        <v>24</v>
      </c>
      <c r="C10" t="s">
        <v>53</v>
      </c>
      <c r="D10" t="s">
        <v>18</v>
      </c>
      <c r="E10">
        <v>41</v>
      </c>
      <c r="F10" t="s">
        <v>34</v>
      </c>
      <c r="G10" t="s">
        <v>35</v>
      </c>
      <c r="H10" t="s">
        <v>54</v>
      </c>
      <c r="I10" s="1">
        <v>45057</v>
      </c>
      <c r="J10" s="1">
        <v>45072</v>
      </c>
      <c r="L10">
        <v>2</v>
      </c>
      <c r="M10">
        <v>9</v>
      </c>
      <c r="N10" t="s">
        <v>48</v>
      </c>
      <c r="O10">
        <v>1195627</v>
      </c>
      <c r="U10">
        <f>Table1[[#This Row],[Interview_Date]]-Table1[[#This Row],[Application_Date]]</f>
        <v>15</v>
      </c>
      <c r="V10" t="str">
        <f>IF(OR(Table1[[#This Row],[Offer_Date]]="",Table1[[#This Row],[Interview_Date]]=""),"",Table1[[#This Row],[Offer_Date]]-Table1[[#This Row],[Interview_Date]])</f>
        <v/>
      </c>
    </row>
    <row r="11" spans="1:24" x14ac:dyDescent="0.3">
      <c r="A11" t="s">
        <v>55</v>
      </c>
      <c r="B11" t="s">
        <v>16</v>
      </c>
      <c r="C11" t="s">
        <v>43</v>
      </c>
      <c r="D11" t="s">
        <v>26</v>
      </c>
      <c r="E11">
        <v>45</v>
      </c>
      <c r="F11" t="s">
        <v>56</v>
      </c>
      <c r="G11" t="s">
        <v>44</v>
      </c>
      <c r="H11" t="s">
        <v>36</v>
      </c>
      <c r="I11" s="1">
        <v>44465</v>
      </c>
      <c r="J11" s="1">
        <v>44478</v>
      </c>
      <c r="L11">
        <v>2</v>
      </c>
      <c r="M11">
        <v>4</v>
      </c>
      <c r="N11" t="s">
        <v>22</v>
      </c>
      <c r="O11">
        <v>613825</v>
      </c>
      <c r="U11">
        <f>Table1[[#This Row],[Interview_Date]]-Table1[[#This Row],[Application_Date]]</f>
        <v>13</v>
      </c>
      <c r="V11" t="str">
        <f>IF(OR(Table1[[#This Row],[Offer_Date]]="",Table1[[#This Row],[Interview_Date]]=""),"",Table1[[#This Row],[Offer_Date]]-Table1[[#This Row],[Interview_Date]])</f>
        <v/>
      </c>
    </row>
    <row r="12" spans="1:24" x14ac:dyDescent="0.3">
      <c r="A12" t="s">
        <v>57</v>
      </c>
      <c r="B12" t="s">
        <v>58</v>
      </c>
      <c r="C12" t="s">
        <v>59</v>
      </c>
      <c r="D12" t="s">
        <v>26</v>
      </c>
      <c r="E12">
        <v>37</v>
      </c>
      <c r="F12" t="s">
        <v>56</v>
      </c>
      <c r="G12" t="s">
        <v>60</v>
      </c>
      <c r="H12" t="s">
        <v>51</v>
      </c>
      <c r="I12" s="1">
        <v>45098</v>
      </c>
      <c r="J12" s="1">
        <v>45112</v>
      </c>
      <c r="K12" s="1">
        <v>45118</v>
      </c>
      <c r="L12">
        <v>1</v>
      </c>
      <c r="M12">
        <v>10</v>
      </c>
      <c r="N12" t="s">
        <v>45</v>
      </c>
      <c r="O12">
        <v>358531</v>
      </c>
      <c r="U12">
        <f>Table1[[#This Row],[Interview_Date]]-Table1[[#This Row],[Application_Date]]</f>
        <v>14</v>
      </c>
      <c r="V12">
        <f>IF(OR(Table1[[#This Row],[Offer_Date]]="",Table1[[#This Row],[Interview_Date]]=""),"",Table1[[#This Row],[Offer_Date]]-Table1[[#This Row],[Interview_Date]])</f>
        <v>6</v>
      </c>
    </row>
    <row r="13" spans="1:24" x14ac:dyDescent="0.3">
      <c r="A13" t="s">
        <v>61</v>
      </c>
      <c r="B13" t="s">
        <v>47</v>
      </c>
      <c r="C13" t="s">
        <v>30</v>
      </c>
      <c r="D13" t="s">
        <v>18</v>
      </c>
      <c r="E13">
        <v>23</v>
      </c>
      <c r="F13" t="s">
        <v>19</v>
      </c>
      <c r="G13" t="s">
        <v>44</v>
      </c>
      <c r="H13" t="s">
        <v>51</v>
      </c>
      <c r="I13" s="1">
        <v>45204</v>
      </c>
      <c r="J13" s="1">
        <v>45210</v>
      </c>
      <c r="L13">
        <v>2</v>
      </c>
      <c r="M13">
        <v>9</v>
      </c>
      <c r="N13" t="s">
        <v>48</v>
      </c>
      <c r="O13">
        <v>856687</v>
      </c>
      <c r="U13">
        <f>Table1[[#This Row],[Interview_Date]]-Table1[[#This Row],[Application_Date]]</f>
        <v>6</v>
      </c>
      <c r="V13" t="str">
        <f>IF(OR(Table1[[#This Row],[Offer_Date]]="",Table1[[#This Row],[Interview_Date]]=""),"",Table1[[#This Row],[Offer_Date]]-Table1[[#This Row],[Interview_Date]])</f>
        <v/>
      </c>
    </row>
    <row r="14" spans="1:24" x14ac:dyDescent="0.3">
      <c r="A14" t="s">
        <v>62</v>
      </c>
      <c r="B14" t="s">
        <v>63</v>
      </c>
      <c r="C14" t="s">
        <v>17</v>
      </c>
      <c r="D14" t="s">
        <v>18</v>
      </c>
      <c r="E14">
        <v>29</v>
      </c>
      <c r="F14" t="s">
        <v>56</v>
      </c>
      <c r="G14" t="s">
        <v>35</v>
      </c>
      <c r="H14" t="s">
        <v>36</v>
      </c>
      <c r="I14" s="1">
        <v>44237</v>
      </c>
      <c r="J14" s="1">
        <v>44241</v>
      </c>
      <c r="K14" s="1">
        <v>44243</v>
      </c>
      <c r="L14">
        <v>4</v>
      </c>
      <c r="M14">
        <v>5</v>
      </c>
      <c r="N14" t="s">
        <v>45</v>
      </c>
      <c r="O14">
        <v>1007409</v>
      </c>
      <c r="U14">
        <f>Table1[[#This Row],[Interview_Date]]-Table1[[#This Row],[Application_Date]]</f>
        <v>4</v>
      </c>
      <c r="V14">
        <f>IF(OR(Table1[[#This Row],[Offer_Date]]="",Table1[[#This Row],[Interview_Date]]=""),"",Table1[[#This Row],[Offer_Date]]-Table1[[#This Row],[Interview_Date]])</f>
        <v>2</v>
      </c>
    </row>
    <row r="15" spans="1:24" x14ac:dyDescent="0.3">
      <c r="A15" t="s">
        <v>64</v>
      </c>
      <c r="B15" t="s">
        <v>65</v>
      </c>
      <c r="C15" t="s">
        <v>66</v>
      </c>
      <c r="D15" t="s">
        <v>18</v>
      </c>
      <c r="E15">
        <v>23</v>
      </c>
      <c r="F15" t="s">
        <v>56</v>
      </c>
      <c r="G15" t="s">
        <v>60</v>
      </c>
      <c r="H15" t="s">
        <v>21</v>
      </c>
      <c r="I15" s="1">
        <v>44879</v>
      </c>
      <c r="J15" s="1">
        <v>44885</v>
      </c>
      <c r="L15">
        <v>2</v>
      </c>
      <c r="M15">
        <v>10</v>
      </c>
      <c r="N15" t="s">
        <v>22</v>
      </c>
      <c r="O15">
        <v>903254</v>
      </c>
      <c r="U15">
        <f>Table1[[#This Row],[Interview_Date]]-Table1[[#This Row],[Application_Date]]</f>
        <v>6</v>
      </c>
      <c r="V15" t="str">
        <f>IF(OR(Table1[[#This Row],[Offer_Date]]="",Table1[[#This Row],[Interview_Date]]=""),"",Table1[[#This Row],[Offer_Date]]-Table1[[#This Row],[Interview_Date]])</f>
        <v/>
      </c>
    </row>
    <row r="16" spans="1:24" x14ac:dyDescent="0.3">
      <c r="A16" t="s">
        <v>67</v>
      </c>
      <c r="B16" t="s">
        <v>63</v>
      </c>
      <c r="C16" t="s">
        <v>43</v>
      </c>
      <c r="D16" t="s">
        <v>18</v>
      </c>
      <c r="E16">
        <v>31</v>
      </c>
      <c r="F16" t="s">
        <v>34</v>
      </c>
      <c r="G16" t="s">
        <v>35</v>
      </c>
      <c r="H16" t="s">
        <v>51</v>
      </c>
      <c r="I16" s="1">
        <v>44587</v>
      </c>
      <c r="J16" s="1">
        <v>44593</v>
      </c>
      <c r="K16" s="1">
        <v>44595</v>
      </c>
      <c r="L16">
        <v>1</v>
      </c>
      <c r="M16">
        <v>8</v>
      </c>
      <c r="N16" t="s">
        <v>45</v>
      </c>
      <c r="O16">
        <v>736241</v>
      </c>
      <c r="U16">
        <f>Table1[[#This Row],[Interview_Date]]-Table1[[#This Row],[Application_Date]]</f>
        <v>6</v>
      </c>
      <c r="V16">
        <f>IF(OR(Table1[[#This Row],[Offer_Date]]="",Table1[[#This Row],[Interview_Date]]=""),"",Table1[[#This Row],[Offer_Date]]-Table1[[#This Row],[Interview_Date]])</f>
        <v>2</v>
      </c>
    </row>
    <row r="17" spans="1:22" x14ac:dyDescent="0.3">
      <c r="A17" t="s">
        <v>68</v>
      </c>
      <c r="B17" t="s">
        <v>38</v>
      </c>
      <c r="C17" t="s">
        <v>69</v>
      </c>
      <c r="D17" t="s">
        <v>18</v>
      </c>
      <c r="E17">
        <v>22</v>
      </c>
      <c r="F17" t="s">
        <v>39</v>
      </c>
      <c r="G17" t="s">
        <v>27</v>
      </c>
      <c r="H17" t="s">
        <v>21</v>
      </c>
      <c r="I17" s="1">
        <v>44561</v>
      </c>
      <c r="J17" s="1">
        <v>44566</v>
      </c>
      <c r="K17" s="1">
        <v>44571</v>
      </c>
      <c r="L17">
        <v>4</v>
      </c>
      <c r="M17">
        <v>9</v>
      </c>
      <c r="N17" t="s">
        <v>22</v>
      </c>
      <c r="O17">
        <v>892190</v>
      </c>
      <c r="U17">
        <f>Table1[[#This Row],[Interview_Date]]-Table1[[#This Row],[Application_Date]]</f>
        <v>5</v>
      </c>
      <c r="V17">
        <f>IF(OR(Table1[[#This Row],[Offer_Date]]="",Table1[[#This Row],[Interview_Date]]=""),"",Table1[[#This Row],[Offer_Date]]-Table1[[#This Row],[Interview_Date]])</f>
        <v>5</v>
      </c>
    </row>
    <row r="18" spans="1:22" x14ac:dyDescent="0.3">
      <c r="A18" t="s">
        <v>70</v>
      </c>
      <c r="B18" t="s">
        <v>63</v>
      </c>
      <c r="C18" t="s">
        <v>17</v>
      </c>
      <c r="D18" t="s">
        <v>18</v>
      </c>
      <c r="E18">
        <v>44</v>
      </c>
      <c r="F18" t="s">
        <v>19</v>
      </c>
      <c r="G18" t="s">
        <v>27</v>
      </c>
      <c r="H18" t="s">
        <v>51</v>
      </c>
      <c r="I18" s="1">
        <v>44861</v>
      </c>
      <c r="J18" s="1">
        <v>44869</v>
      </c>
      <c r="K18" s="1">
        <v>44873</v>
      </c>
      <c r="L18">
        <v>1</v>
      </c>
      <c r="M18">
        <v>10</v>
      </c>
      <c r="N18" t="s">
        <v>45</v>
      </c>
      <c r="O18">
        <v>441348</v>
      </c>
      <c r="U18">
        <f>Table1[[#This Row],[Interview_Date]]-Table1[[#This Row],[Application_Date]]</f>
        <v>8</v>
      </c>
      <c r="V18">
        <f>IF(OR(Table1[[#This Row],[Offer_Date]]="",Table1[[#This Row],[Interview_Date]]=""),"",Table1[[#This Row],[Offer_Date]]-Table1[[#This Row],[Interview_Date]])</f>
        <v>4</v>
      </c>
    </row>
    <row r="19" spans="1:22" x14ac:dyDescent="0.3">
      <c r="A19" t="s">
        <v>71</v>
      </c>
      <c r="B19" t="s">
        <v>72</v>
      </c>
      <c r="C19" t="s">
        <v>59</v>
      </c>
      <c r="D19" t="s">
        <v>18</v>
      </c>
      <c r="E19">
        <v>27</v>
      </c>
      <c r="F19" t="s">
        <v>39</v>
      </c>
      <c r="G19" t="s">
        <v>20</v>
      </c>
      <c r="H19" t="s">
        <v>51</v>
      </c>
      <c r="I19" s="1">
        <v>44622</v>
      </c>
      <c r="J19" s="1">
        <v>44632</v>
      </c>
      <c r="L19">
        <v>5</v>
      </c>
      <c r="M19">
        <v>5</v>
      </c>
      <c r="N19" t="s">
        <v>22</v>
      </c>
      <c r="O19">
        <v>504484</v>
      </c>
      <c r="U19">
        <f>Table1[[#This Row],[Interview_Date]]-Table1[[#This Row],[Application_Date]]</f>
        <v>10</v>
      </c>
      <c r="V19" t="str">
        <f>IF(OR(Table1[[#This Row],[Offer_Date]]="",Table1[[#This Row],[Interview_Date]]=""),"",Table1[[#This Row],[Offer_Date]]-Table1[[#This Row],[Interview_Date]])</f>
        <v/>
      </c>
    </row>
    <row r="20" spans="1:22" x14ac:dyDescent="0.3">
      <c r="A20" t="s">
        <v>73</v>
      </c>
      <c r="B20" t="s">
        <v>63</v>
      </c>
      <c r="C20" t="s">
        <v>17</v>
      </c>
      <c r="D20" t="s">
        <v>26</v>
      </c>
      <c r="E20">
        <v>38</v>
      </c>
      <c r="F20" t="s">
        <v>74</v>
      </c>
      <c r="G20" t="s">
        <v>27</v>
      </c>
      <c r="H20" t="s">
        <v>36</v>
      </c>
      <c r="I20" s="1">
        <v>44951</v>
      </c>
      <c r="J20" s="1">
        <v>44964</v>
      </c>
      <c r="L20">
        <v>3</v>
      </c>
      <c r="M20">
        <v>7</v>
      </c>
      <c r="N20" t="s">
        <v>45</v>
      </c>
      <c r="O20">
        <v>834260</v>
      </c>
      <c r="U20">
        <f>Table1[[#This Row],[Interview_Date]]-Table1[[#This Row],[Application_Date]]</f>
        <v>13</v>
      </c>
      <c r="V20" t="str">
        <f>IF(OR(Table1[[#This Row],[Offer_Date]]="",Table1[[#This Row],[Interview_Date]]=""),"",Table1[[#This Row],[Offer_Date]]-Table1[[#This Row],[Interview_Date]])</f>
        <v/>
      </c>
    </row>
    <row r="21" spans="1:22" x14ac:dyDescent="0.3">
      <c r="A21" t="s">
        <v>75</v>
      </c>
      <c r="B21" t="s">
        <v>65</v>
      </c>
      <c r="C21" t="s">
        <v>25</v>
      </c>
      <c r="D21" t="s">
        <v>26</v>
      </c>
      <c r="E21">
        <v>28</v>
      </c>
      <c r="F21" t="s">
        <v>31</v>
      </c>
      <c r="G21" t="s">
        <v>27</v>
      </c>
      <c r="H21" t="s">
        <v>51</v>
      </c>
      <c r="I21" s="1">
        <v>45105</v>
      </c>
      <c r="J21" s="1">
        <v>45108</v>
      </c>
      <c r="L21">
        <v>2</v>
      </c>
      <c r="M21">
        <v>3</v>
      </c>
      <c r="N21" t="s">
        <v>48</v>
      </c>
      <c r="O21">
        <v>375865</v>
      </c>
      <c r="U21">
        <f>Table1[[#This Row],[Interview_Date]]-Table1[[#This Row],[Application_Date]]</f>
        <v>3</v>
      </c>
      <c r="V21" t="str">
        <f>IF(OR(Table1[[#This Row],[Offer_Date]]="",Table1[[#This Row],[Interview_Date]]=""),"",Table1[[#This Row],[Offer_Date]]-Table1[[#This Row],[Interview_Date]])</f>
        <v/>
      </c>
    </row>
    <row r="22" spans="1:22" x14ac:dyDescent="0.3">
      <c r="A22" t="s">
        <v>76</v>
      </c>
      <c r="B22" t="s">
        <v>16</v>
      </c>
      <c r="C22" t="s">
        <v>25</v>
      </c>
      <c r="D22" t="s">
        <v>18</v>
      </c>
      <c r="E22">
        <v>36</v>
      </c>
      <c r="F22" t="s">
        <v>34</v>
      </c>
      <c r="G22" t="s">
        <v>27</v>
      </c>
      <c r="H22" t="s">
        <v>21</v>
      </c>
      <c r="I22" s="1">
        <v>45253</v>
      </c>
      <c r="J22" s="1">
        <v>45266</v>
      </c>
      <c r="K22" s="1">
        <v>45272</v>
      </c>
      <c r="L22">
        <v>2</v>
      </c>
      <c r="M22">
        <v>3</v>
      </c>
      <c r="N22" t="s">
        <v>45</v>
      </c>
      <c r="O22">
        <v>361381</v>
      </c>
      <c r="U22">
        <f>Table1[[#This Row],[Interview_Date]]-Table1[[#This Row],[Application_Date]]</f>
        <v>13</v>
      </c>
      <c r="V22">
        <f>IF(OR(Table1[[#This Row],[Offer_Date]]="",Table1[[#This Row],[Interview_Date]]=""),"",Table1[[#This Row],[Offer_Date]]-Table1[[#This Row],[Interview_Date]])</f>
        <v>6</v>
      </c>
    </row>
    <row r="23" spans="1:22" x14ac:dyDescent="0.3">
      <c r="A23" t="s">
        <v>77</v>
      </c>
      <c r="B23" t="s">
        <v>42</v>
      </c>
      <c r="C23" t="s">
        <v>30</v>
      </c>
      <c r="D23" t="s">
        <v>26</v>
      </c>
      <c r="E23">
        <v>43</v>
      </c>
      <c r="F23" t="s">
        <v>56</v>
      </c>
      <c r="G23" t="s">
        <v>35</v>
      </c>
      <c r="H23" t="s">
        <v>21</v>
      </c>
      <c r="I23" s="1">
        <v>44951</v>
      </c>
      <c r="J23" s="1">
        <v>44954</v>
      </c>
      <c r="K23" s="1">
        <v>44957</v>
      </c>
      <c r="L23">
        <v>2</v>
      </c>
      <c r="M23">
        <v>8</v>
      </c>
      <c r="N23" t="s">
        <v>45</v>
      </c>
      <c r="O23">
        <v>892988</v>
      </c>
      <c r="U23">
        <f>Table1[[#This Row],[Interview_Date]]-Table1[[#This Row],[Application_Date]]</f>
        <v>3</v>
      </c>
      <c r="V23">
        <f>IF(OR(Table1[[#This Row],[Offer_Date]]="",Table1[[#This Row],[Interview_Date]]=""),"",Table1[[#This Row],[Offer_Date]]-Table1[[#This Row],[Interview_Date]])</f>
        <v>3</v>
      </c>
    </row>
    <row r="24" spans="1:22" x14ac:dyDescent="0.3">
      <c r="A24" t="s">
        <v>78</v>
      </c>
      <c r="B24" t="s">
        <v>42</v>
      </c>
      <c r="C24" t="s">
        <v>53</v>
      </c>
      <c r="D24" t="s">
        <v>18</v>
      </c>
      <c r="E24">
        <v>29</v>
      </c>
      <c r="F24" t="s">
        <v>39</v>
      </c>
      <c r="G24" t="s">
        <v>20</v>
      </c>
      <c r="H24" t="s">
        <v>51</v>
      </c>
      <c r="I24" s="1">
        <v>45174</v>
      </c>
      <c r="J24" s="1">
        <v>45181</v>
      </c>
      <c r="K24" s="1">
        <v>45185</v>
      </c>
      <c r="L24">
        <v>2</v>
      </c>
      <c r="M24">
        <v>8</v>
      </c>
      <c r="N24" t="s">
        <v>28</v>
      </c>
      <c r="O24">
        <v>421549</v>
      </c>
      <c r="U24">
        <f>Table1[[#This Row],[Interview_Date]]-Table1[[#This Row],[Application_Date]]</f>
        <v>7</v>
      </c>
      <c r="V24">
        <f>IF(OR(Table1[[#This Row],[Offer_Date]]="",Table1[[#This Row],[Interview_Date]]=""),"",Table1[[#This Row],[Offer_Date]]-Table1[[#This Row],[Interview_Date]])</f>
        <v>4</v>
      </c>
    </row>
    <row r="25" spans="1:22" x14ac:dyDescent="0.3">
      <c r="A25" t="s">
        <v>79</v>
      </c>
      <c r="B25" t="s">
        <v>72</v>
      </c>
      <c r="C25" t="s">
        <v>59</v>
      </c>
      <c r="D25" t="s">
        <v>18</v>
      </c>
      <c r="E25">
        <v>33</v>
      </c>
      <c r="F25" t="s">
        <v>19</v>
      </c>
      <c r="G25" t="s">
        <v>35</v>
      </c>
      <c r="H25" t="s">
        <v>36</v>
      </c>
      <c r="I25" s="1">
        <v>44347</v>
      </c>
      <c r="J25" s="1">
        <v>44354</v>
      </c>
      <c r="K25" s="1">
        <v>44357</v>
      </c>
      <c r="L25">
        <v>3</v>
      </c>
      <c r="M25">
        <v>2</v>
      </c>
      <c r="N25" t="s">
        <v>48</v>
      </c>
      <c r="O25">
        <v>424561</v>
      </c>
      <c r="U25">
        <f>Table1[[#This Row],[Interview_Date]]-Table1[[#This Row],[Application_Date]]</f>
        <v>7</v>
      </c>
      <c r="V25">
        <f>IF(OR(Table1[[#This Row],[Offer_Date]]="",Table1[[#This Row],[Interview_Date]]=""),"",Table1[[#This Row],[Offer_Date]]-Table1[[#This Row],[Interview_Date]])</f>
        <v>3</v>
      </c>
    </row>
    <row r="26" spans="1:22" x14ac:dyDescent="0.3">
      <c r="A26" t="s">
        <v>80</v>
      </c>
      <c r="B26" t="s">
        <v>63</v>
      </c>
      <c r="C26" t="s">
        <v>17</v>
      </c>
      <c r="D26" t="s">
        <v>18</v>
      </c>
      <c r="E26">
        <v>31</v>
      </c>
      <c r="F26" t="s">
        <v>56</v>
      </c>
      <c r="G26" t="s">
        <v>44</v>
      </c>
      <c r="H26" t="s">
        <v>40</v>
      </c>
      <c r="I26" s="1">
        <v>44667</v>
      </c>
      <c r="J26" s="1">
        <v>44682</v>
      </c>
      <c r="L26">
        <v>5</v>
      </c>
      <c r="M26">
        <v>7</v>
      </c>
      <c r="N26" t="s">
        <v>48</v>
      </c>
      <c r="O26">
        <v>775095</v>
      </c>
      <c r="U26">
        <f>Table1[[#This Row],[Interview_Date]]-Table1[[#This Row],[Application_Date]]</f>
        <v>15</v>
      </c>
      <c r="V26" t="str">
        <f>IF(OR(Table1[[#This Row],[Offer_Date]]="",Table1[[#This Row],[Interview_Date]]=""),"",Table1[[#This Row],[Offer_Date]]-Table1[[#This Row],[Interview_Date]])</f>
        <v/>
      </c>
    </row>
    <row r="27" spans="1:22" x14ac:dyDescent="0.3">
      <c r="A27" t="s">
        <v>81</v>
      </c>
      <c r="B27" t="s">
        <v>16</v>
      </c>
      <c r="C27" t="s">
        <v>30</v>
      </c>
      <c r="D27" t="s">
        <v>18</v>
      </c>
      <c r="E27">
        <v>26</v>
      </c>
      <c r="F27" t="s">
        <v>31</v>
      </c>
      <c r="G27" t="s">
        <v>20</v>
      </c>
      <c r="H27" t="s">
        <v>40</v>
      </c>
      <c r="I27" s="1">
        <v>45319</v>
      </c>
      <c r="J27" s="1">
        <v>45328</v>
      </c>
      <c r="K27" s="1">
        <v>45330</v>
      </c>
      <c r="L27">
        <v>4</v>
      </c>
      <c r="M27">
        <v>3</v>
      </c>
      <c r="N27" t="s">
        <v>22</v>
      </c>
      <c r="O27">
        <v>437143</v>
      </c>
      <c r="U27">
        <f>Table1[[#This Row],[Interview_Date]]-Table1[[#This Row],[Application_Date]]</f>
        <v>9</v>
      </c>
      <c r="V27">
        <f>IF(OR(Table1[[#This Row],[Offer_Date]]="",Table1[[#This Row],[Interview_Date]]=""),"",Table1[[#This Row],[Offer_Date]]-Table1[[#This Row],[Interview_Date]])</f>
        <v>2</v>
      </c>
    </row>
    <row r="28" spans="1:22" x14ac:dyDescent="0.3">
      <c r="A28" t="s">
        <v>82</v>
      </c>
      <c r="B28" t="s">
        <v>16</v>
      </c>
      <c r="C28" t="s">
        <v>66</v>
      </c>
      <c r="D28" t="s">
        <v>18</v>
      </c>
      <c r="E28">
        <v>41</v>
      </c>
      <c r="F28" t="s">
        <v>31</v>
      </c>
      <c r="G28" t="s">
        <v>27</v>
      </c>
      <c r="H28" t="s">
        <v>51</v>
      </c>
      <c r="I28" s="1">
        <v>45149</v>
      </c>
      <c r="J28" s="1">
        <v>45161</v>
      </c>
      <c r="L28">
        <v>1</v>
      </c>
      <c r="M28">
        <v>10</v>
      </c>
      <c r="N28" t="s">
        <v>28</v>
      </c>
      <c r="O28">
        <v>839210</v>
      </c>
      <c r="U28">
        <f>Table1[[#This Row],[Interview_Date]]-Table1[[#This Row],[Application_Date]]</f>
        <v>12</v>
      </c>
      <c r="V28" t="str">
        <f>IF(OR(Table1[[#This Row],[Offer_Date]]="",Table1[[#This Row],[Interview_Date]]=""),"",Table1[[#This Row],[Offer_Date]]-Table1[[#This Row],[Interview_Date]])</f>
        <v/>
      </c>
    </row>
    <row r="29" spans="1:22" x14ac:dyDescent="0.3">
      <c r="A29" t="s">
        <v>83</v>
      </c>
      <c r="B29" t="s">
        <v>58</v>
      </c>
      <c r="C29" t="s">
        <v>30</v>
      </c>
      <c r="D29" t="s">
        <v>26</v>
      </c>
      <c r="E29">
        <v>35</v>
      </c>
      <c r="F29" t="s">
        <v>56</v>
      </c>
      <c r="G29" t="s">
        <v>27</v>
      </c>
      <c r="H29" t="s">
        <v>54</v>
      </c>
      <c r="I29" s="1">
        <v>44407</v>
      </c>
      <c r="J29" s="1">
        <v>44412</v>
      </c>
      <c r="K29" s="1">
        <v>44419</v>
      </c>
      <c r="L29">
        <v>3</v>
      </c>
      <c r="M29">
        <v>7</v>
      </c>
      <c r="N29" t="s">
        <v>28</v>
      </c>
      <c r="O29">
        <v>1183679</v>
      </c>
      <c r="U29">
        <f>Table1[[#This Row],[Interview_Date]]-Table1[[#This Row],[Application_Date]]</f>
        <v>5</v>
      </c>
      <c r="V29">
        <f>IF(OR(Table1[[#This Row],[Offer_Date]]="",Table1[[#This Row],[Interview_Date]]=""),"",Table1[[#This Row],[Offer_Date]]-Table1[[#This Row],[Interview_Date]])</f>
        <v>7</v>
      </c>
    </row>
    <row r="30" spans="1:22" x14ac:dyDescent="0.3">
      <c r="A30" t="s">
        <v>84</v>
      </c>
      <c r="B30" t="s">
        <v>33</v>
      </c>
      <c r="C30" t="s">
        <v>66</v>
      </c>
      <c r="D30" t="s">
        <v>18</v>
      </c>
      <c r="E30">
        <v>39</v>
      </c>
      <c r="F30" t="s">
        <v>74</v>
      </c>
      <c r="G30" t="s">
        <v>35</v>
      </c>
      <c r="H30" t="s">
        <v>36</v>
      </c>
      <c r="I30" s="1">
        <v>44326</v>
      </c>
      <c r="J30" s="1">
        <v>44340</v>
      </c>
      <c r="L30">
        <v>2</v>
      </c>
      <c r="M30">
        <v>2</v>
      </c>
      <c r="N30" t="s">
        <v>48</v>
      </c>
      <c r="O30">
        <v>867285</v>
      </c>
      <c r="U30">
        <f>Table1[[#This Row],[Interview_Date]]-Table1[[#This Row],[Application_Date]]</f>
        <v>14</v>
      </c>
      <c r="V30" t="str">
        <f>IF(OR(Table1[[#This Row],[Offer_Date]]="",Table1[[#This Row],[Interview_Date]]=""),"",Table1[[#This Row],[Offer_Date]]-Table1[[#This Row],[Interview_Date]])</f>
        <v/>
      </c>
    </row>
    <row r="31" spans="1:22" x14ac:dyDescent="0.3">
      <c r="A31" t="s">
        <v>85</v>
      </c>
      <c r="B31" t="s">
        <v>63</v>
      </c>
      <c r="C31" t="s">
        <v>53</v>
      </c>
      <c r="D31" t="s">
        <v>18</v>
      </c>
      <c r="E31">
        <v>42</v>
      </c>
      <c r="F31" t="s">
        <v>56</v>
      </c>
      <c r="G31" t="s">
        <v>44</v>
      </c>
      <c r="H31" t="s">
        <v>54</v>
      </c>
      <c r="I31" s="1">
        <v>45337</v>
      </c>
      <c r="J31" s="1">
        <v>45340</v>
      </c>
      <c r="L31">
        <v>3</v>
      </c>
      <c r="M31">
        <v>6</v>
      </c>
      <c r="N31" t="s">
        <v>22</v>
      </c>
      <c r="O31">
        <v>445386</v>
      </c>
      <c r="U31">
        <f>Table1[[#This Row],[Interview_Date]]-Table1[[#This Row],[Application_Date]]</f>
        <v>3</v>
      </c>
      <c r="V31" t="str">
        <f>IF(OR(Table1[[#This Row],[Offer_Date]]="",Table1[[#This Row],[Interview_Date]]=""),"",Table1[[#This Row],[Offer_Date]]-Table1[[#This Row],[Interview_Date]])</f>
        <v/>
      </c>
    </row>
    <row r="32" spans="1:22" x14ac:dyDescent="0.3">
      <c r="A32" t="s">
        <v>86</v>
      </c>
      <c r="B32" t="s">
        <v>38</v>
      </c>
      <c r="C32" t="s">
        <v>25</v>
      </c>
      <c r="D32" t="s">
        <v>26</v>
      </c>
      <c r="E32">
        <v>25</v>
      </c>
      <c r="F32" t="s">
        <v>31</v>
      </c>
      <c r="G32" t="s">
        <v>35</v>
      </c>
      <c r="H32" t="s">
        <v>40</v>
      </c>
      <c r="I32" s="1">
        <v>44893</v>
      </c>
      <c r="J32" s="1">
        <v>44904</v>
      </c>
      <c r="K32" s="1">
        <v>44908</v>
      </c>
      <c r="L32">
        <v>4</v>
      </c>
      <c r="M32">
        <v>10</v>
      </c>
      <c r="N32" t="s">
        <v>45</v>
      </c>
      <c r="O32">
        <v>305781</v>
      </c>
      <c r="U32">
        <f>Table1[[#This Row],[Interview_Date]]-Table1[[#This Row],[Application_Date]]</f>
        <v>11</v>
      </c>
      <c r="V32">
        <f>IF(OR(Table1[[#This Row],[Offer_Date]]="",Table1[[#This Row],[Interview_Date]]=""),"",Table1[[#This Row],[Offer_Date]]-Table1[[#This Row],[Interview_Date]])</f>
        <v>4</v>
      </c>
    </row>
    <row r="33" spans="1:22" x14ac:dyDescent="0.3">
      <c r="A33" t="s">
        <v>87</v>
      </c>
      <c r="B33" t="s">
        <v>24</v>
      </c>
      <c r="C33" t="s">
        <v>66</v>
      </c>
      <c r="D33" t="s">
        <v>18</v>
      </c>
      <c r="E33">
        <v>27</v>
      </c>
      <c r="F33" t="s">
        <v>31</v>
      </c>
      <c r="G33" t="s">
        <v>44</v>
      </c>
      <c r="H33" t="s">
        <v>40</v>
      </c>
      <c r="I33" s="1">
        <v>44850</v>
      </c>
      <c r="J33" s="1">
        <v>44860</v>
      </c>
      <c r="L33">
        <v>1</v>
      </c>
      <c r="M33">
        <v>6</v>
      </c>
      <c r="N33" t="s">
        <v>22</v>
      </c>
      <c r="O33">
        <v>939304</v>
      </c>
      <c r="U33">
        <f>Table1[[#This Row],[Interview_Date]]-Table1[[#This Row],[Application_Date]]</f>
        <v>10</v>
      </c>
      <c r="V33" t="str">
        <f>IF(OR(Table1[[#This Row],[Offer_Date]]="",Table1[[#This Row],[Interview_Date]]=""),"",Table1[[#This Row],[Offer_Date]]-Table1[[#This Row],[Interview_Date]])</f>
        <v/>
      </c>
    </row>
    <row r="34" spans="1:22" x14ac:dyDescent="0.3">
      <c r="A34" t="s">
        <v>88</v>
      </c>
      <c r="B34" t="s">
        <v>24</v>
      </c>
      <c r="C34" t="s">
        <v>25</v>
      </c>
      <c r="D34" t="s">
        <v>26</v>
      </c>
      <c r="E34">
        <v>24</v>
      </c>
      <c r="F34" t="s">
        <v>74</v>
      </c>
      <c r="G34" t="s">
        <v>20</v>
      </c>
      <c r="H34" t="s">
        <v>54</v>
      </c>
      <c r="I34" s="1">
        <v>45037</v>
      </c>
      <c r="J34" s="1">
        <v>45048</v>
      </c>
      <c r="K34" s="1">
        <v>45055</v>
      </c>
      <c r="L34">
        <v>3</v>
      </c>
      <c r="M34">
        <v>7</v>
      </c>
      <c r="N34" t="s">
        <v>48</v>
      </c>
      <c r="O34">
        <v>1118251</v>
      </c>
      <c r="U34">
        <f>Table1[[#This Row],[Interview_Date]]-Table1[[#This Row],[Application_Date]]</f>
        <v>11</v>
      </c>
      <c r="V34">
        <f>IF(OR(Table1[[#This Row],[Offer_Date]]="",Table1[[#This Row],[Interview_Date]]=""),"",Table1[[#This Row],[Offer_Date]]-Table1[[#This Row],[Interview_Date]])</f>
        <v>7</v>
      </c>
    </row>
    <row r="35" spans="1:22" x14ac:dyDescent="0.3">
      <c r="A35" t="s">
        <v>89</v>
      </c>
      <c r="B35" t="s">
        <v>38</v>
      </c>
      <c r="C35" t="s">
        <v>66</v>
      </c>
      <c r="D35" t="s">
        <v>26</v>
      </c>
      <c r="E35">
        <v>23</v>
      </c>
      <c r="F35" t="s">
        <v>56</v>
      </c>
      <c r="G35" t="s">
        <v>44</v>
      </c>
      <c r="H35" t="s">
        <v>40</v>
      </c>
      <c r="I35" s="1">
        <v>44747</v>
      </c>
      <c r="J35" s="1">
        <v>44751</v>
      </c>
      <c r="L35">
        <v>2</v>
      </c>
      <c r="M35">
        <v>4</v>
      </c>
      <c r="N35" t="s">
        <v>48</v>
      </c>
      <c r="O35">
        <v>1110386</v>
      </c>
      <c r="U35">
        <f>Table1[[#This Row],[Interview_Date]]-Table1[[#This Row],[Application_Date]]</f>
        <v>4</v>
      </c>
      <c r="V35" t="str">
        <f>IF(OR(Table1[[#This Row],[Offer_Date]]="",Table1[[#This Row],[Interview_Date]]=""),"",Table1[[#This Row],[Offer_Date]]-Table1[[#This Row],[Interview_Date]])</f>
        <v/>
      </c>
    </row>
    <row r="36" spans="1:22" x14ac:dyDescent="0.3">
      <c r="A36" t="s">
        <v>90</v>
      </c>
      <c r="B36" t="s">
        <v>42</v>
      </c>
      <c r="C36" t="s">
        <v>50</v>
      </c>
      <c r="D36" t="s">
        <v>26</v>
      </c>
      <c r="E36">
        <v>21</v>
      </c>
      <c r="F36" t="s">
        <v>31</v>
      </c>
      <c r="G36" t="s">
        <v>44</v>
      </c>
      <c r="H36" t="s">
        <v>54</v>
      </c>
      <c r="I36" s="1">
        <v>44580</v>
      </c>
      <c r="J36" s="1">
        <v>44595</v>
      </c>
      <c r="K36" s="1">
        <v>44601</v>
      </c>
      <c r="L36">
        <v>4</v>
      </c>
      <c r="M36">
        <v>3</v>
      </c>
      <c r="N36" t="s">
        <v>45</v>
      </c>
      <c r="O36">
        <v>743441</v>
      </c>
      <c r="U36">
        <f>Table1[[#This Row],[Interview_Date]]-Table1[[#This Row],[Application_Date]]</f>
        <v>15</v>
      </c>
      <c r="V36">
        <f>IF(OR(Table1[[#This Row],[Offer_Date]]="",Table1[[#This Row],[Interview_Date]]=""),"",Table1[[#This Row],[Offer_Date]]-Table1[[#This Row],[Interview_Date]])</f>
        <v>6</v>
      </c>
    </row>
    <row r="37" spans="1:22" x14ac:dyDescent="0.3">
      <c r="A37" t="s">
        <v>91</v>
      </c>
      <c r="B37" t="s">
        <v>24</v>
      </c>
      <c r="C37" t="s">
        <v>50</v>
      </c>
      <c r="D37" t="s">
        <v>18</v>
      </c>
      <c r="E37">
        <v>24</v>
      </c>
      <c r="F37" t="s">
        <v>39</v>
      </c>
      <c r="G37" t="s">
        <v>60</v>
      </c>
      <c r="H37" t="s">
        <v>51</v>
      </c>
      <c r="I37" s="1">
        <v>44902</v>
      </c>
      <c r="J37" s="1">
        <v>44916</v>
      </c>
      <c r="L37">
        <v>3</v>
      </c>
      <c r="M37">
        <v>8</v>
      </c>
      <c r="N37" t="s">
        <v>28</v>
      </c>
      <c r="O37">
        <v>621160</v>
      </c>
      <c r="U37">
        <f>Table1[[#This Row],[Interview_Date]]-Table1[[#This Row],[Application_Date]]</f>
        <v>14</v>
      </c>
      <c r="V37" t="str">
        <f>IF(OR(Table1[[#This Row],[Offer_Date]]="",Table1[[#This Row],[Interview_Date]]=""),"",Table1[[#This Row],[Offer_Date]]-Table1[[#This Row],[Interview_Date]])</f>
        <v/>
      </c>
    </row>
    <row r="38" spans="1:22" x14ac:dyDescent="0.3">
      <c r="A38" t="s">
        <v>92</v>
      </c>
      <c r="B38" t="s">
        <v>47</v>
      </c>
      <c r="C38" t="s">
        <v>25</v>
      </c>
      <c r="D38" t="s">
        <v>26</v>
      </c>
      <c r="E38">
        <v>41</v>
      </c>
      <c r="F38" t="s">
        <v>74</v>
      </c>
      <c r="G38" t="s">
        <v>35</v>
      </c>
      <c r="H38" t="s">
        <v>36</v>
      </c>
      <c r="I38" s="1">
        <v>45062</v>
      </c>
      <c r="J38" s="1">
        <v>45065</v>
      </c>
      <c r="K38" s="1">
        <v>45067</v>
      </c>
      <c r="L38">
        <v>2</v>
      </c>
      <c r="M38">
        <v>9</v>
      </c>
      <c r="N38" t="s">
        <v>22</v>
      </c>
      <c r="O38">
        <v>748915</v>
      </c>
      <c r="U38">
        <f>Table1[[#This Row],[Interview_Date]]-Table1[[#This Row],[Application_Date]]</f>
        <v>3</v>
      </c>
      <c r="V38">
        <f>IF(OR(Table1[[#This Row],[Offer_Date]]="",Table1[[#This Row],[Interview_Date]]=""),"",Table1[[#This Row],[Offer_Date]]-Table1[[#This Row],[Interview_Date]])</f>
        <v>2</v>
      </c>
    </row>
    <row r="39" spans="1:22" x14ac:dyDescent="0.3">
      <c r="A39" t="s">
        <v>93</v>
      </c>
      <c r="B39" t="s">
        <v>16</v>
      </c>
      <c r="C39" t="s">
        <v>94</v>
      </c>
      <c r="D39" t="s">
        <v>18</v>
      </c>
      <c r="E39">
        <v>39</v>
      </c>
      <c r="F39" t="s">
        <v>19</v>
      </c>
      <c r="G39" t="s">
        <v>60</v>
      </c>
      <c r="H39" t="s">
        <v>51</v>
      </c>
      <c r="I39" s="1">
        <v>44963</v>
      </c>
      <c r="J39" s="1">
        <v>44978</v>
      </c>
      <c r="K39" s="1">
        <v>44985</v>
      </c>
      <c r="L39">
        <v>2</v>
      </c>
      <c r="M39">
        <v>4</v>
      </c>
      <c r="N39" t="s">
        <v>45</v>
      </c>
      <c r="O39">
        <v>782704</v>
      </c>
      <c r="U39">
        <f>Table1[[#This Row],[Interview_Date]]-Table1[[#This Row],[Application_Date]]</f>
        <v>15</v>
      </c>
      <c r="V39">
        <f>IF(OR(Table1[[#This Row],[Offer_Date]]="",Table1[[#This Row],[Interview_Date]]=""),"",Table1[[#This Row],[Offer_Date]]-Table1[[#This Row],[Interview_Date]])</f>
        <v>7</v>
      </c>
    </row>
    <row r="40" spans="1:22" x14ac:dyDescent="0.3">
      <c r="A40" t="s">
        <v>95</v>
      </c>
      <c r="B40" t="s">
        <v>47</v>
      </c>
      <c r="C40" t="s">
        <v>43</v>
      </c>
      <c r="D40" t="s">
        <v>18</v>
      </c>
      <c r="E40">
        <v>36</v>
      </c>
      <c r="F40" t="s">
        <v>19</v>
      </c>
      <c r="G40" t="s">
        <v>20</v>
      </c>
      <c r="H40" t="s">
        <v>21</v>
      </c>
      <c r="I40" s="1">
        <v>44866</v>
      </c>
      <c r="J40" s="1">
        <v>44881</v>
      </c>
      <c r="K40" s="1">
        <v>44887</v>
      </c>
      <c r="L40">
        <v>4</v>
      </c>
      <c r="M40">
        <v>6</v>
      </c>
      <c r="N40" t="s">
        <v>45</v>
      </c>
      <c r="O40">
        <v>901860</v>
      </c>
      <c r="U40">
        <f>Table1[[#This Row],[Interview_Date]]-Table1[[#This Row],[Application_Date]]</f>
        <v>15</v>
      </c>
      <c r="V40">
        <f>IF(OR(Table1[[#This Row],[Offer_Date]]="",Table1[[#This Row],[Interview_Date]]=""),"",Table1[[#This Row],[Offer_Date]]-Table1[[#This Row],[Interview_Date]])</f>
        <v>6</v>
      </c>
    </row>
    <row r="41" spans="1:22" x14ac:dyDescent="0.3">
      <c r="A41" t="s">
        <v>96</v>
      </c>
      <c r="B41" t="s">
        <v>16</v>
      </c>
      <c r="C41" t="s">
        <v>59</v>
      </c>
      <c r="D41" t="s">
        <v>18</v>
      </c>
      <c r="E41">
        <v>37</v>
      </c>
      <c r="F41" t="s">
        <v>56</v>
      </c>
      <c r="G41" t="s">
        <v>27</v>
      </c>
      <c r="H41" t="s">
        <v>36</v>
      </c>
      <c r="I41" s="1">
        <v>44937</v>
      </c>
      <c r="J41" s="1">
        <v>44950</v>
      </c>
      <c r="L41">
        <v>5</v>
      </c>
      <c r="M41">
        <v>8</v>
      </c>
      <c r="N41" t="s">
        <v>28</v>
      </c>
      <c r="O41">
        <v>797827</v>
      </c>
      <c r="U41">
        <f>Table1[[#This Row],[Interview_Date]]-Table1[[#This Row],[Application_Date]]</f>
        <v>13</v>
      </c>
      <c r="V41" t="str">
        <f>IF(OR(Table1[[#This Row],[Offer_Date]]="",Table1[[#This Row],[Interview_Date]]=""),"",Table1[[#This Row],[Offer_Date]]-Table1[[#This Row],[Interview_Date]])</f>
        <v/>
      </c>
    </row>
    <row r="42" spans="1:22" x14ac:dyDescent="0.3">
      <c r="A42" t="s">
        <v>97</v>
      </c>
      <c r="B42" t="s">
        <v>38</v>
      </c>
      <c r="C42" t="s">
        <v>25</v>
      </c>
      <c r="D42" t="s">
        <v>26</v>
      </c>
      <c r="E42">
        <v>24</v>
      </c>
      <c r="F42" t="s">
        <v>19</v>
      </c>
      <c r="G42" t="s">
        <v>27</v>
      </c>
      <c r="H42" t="s">
        <v>51</v>
      </c>
      <c r="I42" s="1">
        <v>45288</v>
      </c>
      <c r="J42" s="1">
        <v>45298</v>
      </c>
      <c r="L42">
        <v>4</v>
      </c>
      <c r="M42">
        <v>6</v>
      </c>
      <c r="N42" t="s">
        <v>28</v>
      </c>
      <c r="O42">
        <v>951893</v>
      </c>
      <c r="U42">
        <f>Table1[[#This Row],[Interview_Date]]-Table1[[#This Row],[Application_Date]]</f>
        <v>10</v>
      </c>
      <c r="V42" t="str">
        <f>IF(OR(Table1[[#This Row],[Offer_Date]]="",Table1[[#This Row],[Interview_Date]]=""),"",Table1[[#This Row],[Offer_Date]]-Table1[[#This Row],[Interview_Date]])</f>
        <v/>
      </c>
    </row>
    <row r="43" spans="1:22" x14ac:dyDescent="0.3">
      <c r="A43" t="s">
        <v>98</v>
      </c>
      <c r="B43" t="s">
        <v>65</v>
      </c>
      <c r="C43" t="s">
        <v>17</v>
      </c>
      <c r="D43" t="s">
        <v>18</v>
      </c>
      <c r="E43">
        <v>44</v>
      </c>
      <c r="F43" t="s">
        <v>39</v>
      </c>
      <c r="G43" t="s">
        <v>20</v>
      </c>
      <c r="H43" t="s">
        <v>36</v>
      </c>
      <c r="I43" s="1">
        <v>44858</v>
      </c>
      <c r="J43" s="1">
        <v>44871</v>
      </c>
      <c r="L43">
        <v>1</v>
      </c>
      <c r="M43">
        <v>10</v>
      </c>
      <c r="N43" t="s">
        <v>28</v>
      </c>
      <c r="O43">
        <v>661804</v>
      </c>
      <c r="U43">
        <f>Table1[[#This Row],[Interview_Date]]-Table1[[#This Row],[Application_Date]]</f>
        <v>13</v>
      </c>
      <c r="V43" t="str">
        <f>IF(OR(Table1[[#This Row],[Offer_Date]]="",Table1[[#This Row],[Interview_Date]]=""),"",Table1[[#This Row],[Offer_Date]]-Table1[[#This Row],[Interview_Date]])</f>
        <v/>
      </c>
    </row>
    <row r="44" spans="1:22" x14ac:dyDescent="0.3">
      <c r="A44" t="s">
        <v>99</v>
      </c>
      <c r="B44" t="s">
        <v>42</v>
      </c>
      <c r="C44" t="s">
        <v>53</v>
      </c>
      <c r="D44" t="s">
        <v>26</v>
      </c>
      <c r="E44">
        <v>27</v>
      </c>
      <c r="F44" t="s">
        <v>19</v>
      </c>
      <c r="G44" t="s">
        <v>20</v>
      </c>
      <c r="H44" t="s">
        <v>36</v>
      </c>
      <c r="I44" s="1">
        <v>44272</v>
      </c>
      <c r="J44" s="1">
        <v>44284</v>
      </c>
      <c r="K44" s="1">
        <v>44289</v>
      </c>
      <c r="L44">
        <v>5</v>
      </c>
      <c r="M44">
        <v>6</v>
      </c>
      <c r="N44" t="s">
        <v>48</v>
      </c>
      <c r="O44">
        <v>624330</v>
      </c>
      <c r="U44">
        <f>Table1[[#This Row],[Interview_Date]]-Table1[[#This Row],[Application_Date]]</f>
        <v>12</v>
      </c>
      <c r="V44">
        <f>IF(OR(Table1[[#This Row],[Offer_Date]]="",Table1[[#This Row],[Interview_Date]]=""),"",Table1[[#This Row],[Offer_Date]]-Table1[[#This Row],[Interview_Date]])</f>
        <v>5</v>
      </c>
    </row>
    <row r="45" spans="1:22" x14ac:dyDescent="0.3">
      <c r="A45" t="s">
        <v>100</v>
      </c>
      <c r="B45" t="s">
        <v>63</v>
      </c>
      <c r="C45" t="s">
        <v>69</v>
      </c>
      <c r="D45" t="s">
        <v>18</v>
      </c>
      <c r="E45">
        <v>31</v>
      </c>
      <c r="F45" t="s">
        <v>39</v>
      </c>
      <c r="G45" t="s">
        <v>27</v>
      </c>
      <c r="H45" t="s">
        <v>51</v>
      </c>
      <c r="I45" s="1">
        <v>45038</v>
      </c>
      <c r="J45" s="1">
        <v>45044</v>
      </c>
      <c r="L45">
        <v>1</v>
      </c>
      <c r="M45">
        <v>4</v>
      </c>
      <c r="N45" t="s">
        <v>48</v>
      </c>
      <c r="O45">
        <v>1038308</v>
      </c>
      <c r="U45">
        <f>Table1[[#This Row],[Interview_Date]]-Table1[[#This Row],[Application_Date]]</f>
        <v>6</v>
      </c>
      <c r="V45" t="str">
        <f>IF(OR(Table1[[#This Row],[Offer_Date]]="",Table1[[#This Row],[Interview_Date]]=""),"",Table1[[#This Row],[Offer_Date]]-Table1[[#This Row],[Interview_Date]])</f>
        <v/>
      </c>
    </row>
    <row r="46" spans="1:22" x14ac:dyDescent="0.3">
      <c r="A46" t="s">
        <v>101</v>
      </c>
      <c r="B46" t="s">
        <v>65</v>
      </c>
      <c r="C46" t="s">
        <v>17</v>
      </c>
      <c r="D46" t="s">
        <v>26</v>
      </c>
      <c r="E46">
        <v>30</v>
      </c>
      <c r="F46" t="s">
        <v>39</v>
      </c>
      <c r="G46" t="s">
        <v>35</v>
      </c>
      <c r="H46" t="s">
        <v>51</v>
      </c>
      <c r="I46" s="1">
        <v>44891</v>
      </c>
      <c r="J46" s="1">
        <v>44894</v>
      </c>
      <c r="K46" s="1">
        <v>44901</v>
      </c>
      <c r="L46">
        <v>2</v>
      </c>
      <c r="M46">
        <v>7</v>
      </c>
      <c r="N46" t="s">
        <v>28</v>
      </c>
      <c r="O46">
        <v>692050</v>
      </c>
      <c r="U46">
        <f>Table1[[#This Row],[Interview_Date]]-Table1[[#This Row],[Application_Date]]</f>
        <v>3</v>
      </c>
      <c r="V46">
        <f>IF(OR(Table1[[#This Row],[Offer_Date]]="",Table1[[#This Row],[Interview_Date]]=""),"",Table1[[#This Row],[Offer_Date]]-Table1[[#This Row],[Interview_Date]])</f>
        <v>7</v>
      </c>
    </row>
    <row r="47" spans="1:22" x14ac:dyDescent="0.3">
      <c r="A47" t="s">
        <v>102</v>
      </c>
      <c r="B47" t="s">
        <v>65</v>
      </c>
      <c r="C47" t="s">
        <v>69</v>
      </c>
      <c r="D47" t="s">
        <v>26</v>
      </c>
      <c r="E47">
        <v>43</v>
      </c>
      <c r="F47" t="s">
        <v>19</v>
      </c>
      <c r="G47" t="s">
        <v>27</v>
      </c>
      <c r="H47" t="s">
        <v>40</v>
      </c>
      <c r="I47" s="1">
        <v>44231</v>
      </c>
      <c r="J47" s="1">
        <v>44239</v>
      </c>
      <c r="L47">
        <v>4</v>
      </c>
      <c r="M47">
        <v>10</v>
      </c>
      <c r="N47" t="s">
        <v>45</v>
      </c>
      <c r="O47">
        <v>1069526</v>
      </c>
      <c r="U47">
        <f>Table1[[#This Row],[Interview_Date]]-Table1[[#This Row],[Application_Date]]</f>
        <v>8</v>
      </c>
      <c r="V47" t="str">
        <f>IF(OR(Table1[[#This Row],[Offer_Date]]="",Table1[[#This Row],[Interview_Date]]=""),"",Table1[[#This Row],[Offer_Date]]-Table1[[#This Row],[Interview_Date]])</f>
        <v/>
      </c>
    </row>
    <row r="48" spans="1:22" x14ac:dyDescent="0.3">
      <c r="A48" t="s">
        <v>103</v>
      </c>
      <c r="B48" t="s">
        <v>33</v>
      </c>
      <c r="C48" t="s">
        <v>53</v>
      </c>
      <c r="D48" t="s">
        <v>18</v>
      </c>
      <c r="E48">
        <v>32</v>
      </c>
      <c r="F48" t="s">
        <v>74</v>
      </c>
      <c r="G48" t="s">
        <v>20</v>
      </c>
      <c r="H48" t="s">
        <v>36</v>
      </c>
      <c r="I48" s="1">
        <v>44887</v>
      </c>
      <c r="J48" s="1">
        <v>44900</v>
      </c>
      <c r="L48">
        <v>1</v>
      </c>
      <c r="M48">
        <v>7</v>
      </c>
      <c r="N48" t="s">
        <v>45</v>
      </c>
      <c r="O48">
        <v>526629</v>
      </c>
      <c r="U48">
        <f>Table1[[#This Row],[Interview_Date]]-Table1[[#This Row],[Application_Date]]</f>
        <v>13</v>
      </c>
      <c r="V48" t="str">
        <f>IF(OR(Table1[[#This Row],[Offer_Date]]="",Table1[[#This Row],[Interview_Date]]=""),"",Table1[[#This Row],[Offer_Date]]-Table1[[#This Row],[Interview_Date]])</f>
        <v/>
      </c>
    </row>
    <row r="49" spans="1:22" x14ac:dyDescent="0.3">
      <c r="A49" t="s">
        <v>104</v>
      </c>
      <c r="B49" t="s">
        <v>58</v>
      </c>
      <c r="C49" t="s">
        <v>50</v>
      </c>
      <c r="D49" t="s">
        <v>26</v>
      </c>
      <c r="E49">
        <v>45</v>
      </c>
      <c r="F49" t="s">
        <v>34</v>
      </c>
      <c r="G49" t="s">
        <v>35</v>
      </c>
      <c r="H49" t="s">
        <v>40</v>
      </c>
      <c r="I49" s="1">
        <v>45081</v>
      </c>
      <c r="J49" s="1">
        <v>45092</v>
      </c>
      <c r="L49">
        <v>3</v>
      </c>
      <c r="M49">
        <v>8</v>
      </c>
      <c r="N49" t="s">
        <v>45</v>
      </c>
      <c r="O49">
        <v>410550</v>
      </c>
      <c r="U49">
        <f>Table1[[#This Row],[Interview_Date]]-Table1[[#This Row],[Application_Date]]</f>
        <v>11</v>
      </c>
      <c r="V49" t="str">
        <f>IF(OR(Table1[[#This Row],[Offer_Date]]="",Table1[[#This Row],[Interview_Date]]=""),"",Table1[[#This Row],[Offer_Date]]-Table1[[#This Row],[Interview_Date]])</f>
        <v/>
      </c>
    </row>
    <row r="50" spans="1:22" x14ac:dyDescent="0.3">
      <c r="A50" t="s">
        <v>105</v>
      </c>
      <c r="B50" t="s">
        <v>65</v>
      </c>
      <c r="C50" t="s">
        <v>50</v>
      </c>
      <c r="D50" t="s">
        <v>18</v>
      </c>
      <c r="E50">
        <v>34</v>
      </c>
      <c r="F50" t="s">
        <v>56</v>
      </c>
      <c r="G50" t="s">
        <v>44</v>
      </c>
      <c r="H50" t="s">
        <v>36</v>
      </c>
      <c r="I50" s="1">
        <v>45011</v>
      </c>
      <c r="J50" s="1">
        <v>45024</v>
      </c>
      <c r="K50" s="1">
        <v>45030</v>
      </c>
      <c r="L50">
        <v>3</v>
      </c>
      <c r="M50">
        <v>5</v>
      </c>
      <c r="N50" t="s">
        <v>48</v>
      </c>
      <c r="O50">
        <v>738369</v>
      </c>
      <c r="U50">
        <f>Table1[[#This Row],[Interview_Date]]-Table1[[#This Row],[Application_Date]]</f>
        <v>13</v>
      </c>
      <c r="V50">
        <f>IF(OR(Table1[[#This Row],[Offer_Date]]="",Table1[[#This Row],[Interview_Date]]=""),"",Table1[[#This Row],[Offer_Date]]-Table1[[#This Row],[Interview_Date]])</f>
        <v>6</v>
      </c>
    </row>
    <row r="51" spans="1:22" x14ac:dyDescent="0.3">
      <c r="A51" t="s">
        <v>106</v>
      </c>
      <c r="B51" t="s">
        <v>47</v>
      </c>
      <c r="C51" t="s">
        <v>17</v>
      </c>
      <c r="D51" t="s">
        <v>18</v>
      </c>
      <c r="E51">
        <v>25</v>
      </c>
      <c r="F51" t="s">
        <v>19</v>
      </c>
      <c r="G51" t="s">
        <v>20</v>
      </c>
      <c r="H51" t="s">
        <v>36</v>
      </c>
      <c r="I51" s="1">
        <v>44584</v>
      </c>
      <c r="J51" s="1">
        <v>44592</v>
      </c>
      <c r="K51" s="1">
        <v>44598</v>
      </c>
      <c r="L51">
        <v>5</v>
      </c>
      <c r="M51">
        <v>4</v>
      </c>
      <c r="N51" t="s">
        <v>28</v>
      </c>
      <c r="O51">
        <v>606628</v>
      </c>
      <c r="U51">
        <f>Table1[[#This Row],[Interview_Date]]-Table1[[#This Row],[Application_Date]]</f>
        <v>8</v>
      </c>
      <c r="V51">
        <f>IF(OR(Table1[[#This Row],[Offer_Date]]="",Table1[[#This Row],[Interview_Date]]=""),"",Table1[[#This Row],[Offer_Date]]-Table1[[#This Row],[Interview_Date]])</f>
        <v>6</v>
      </c>
    </row>
    <row r="52" spans="1:22" x14ac:dyDescent="0.3">
      <c r="A52" t="s">
        <v>107</v>
      </c>
      <c r="B52" t="s">
        <v>42</v>
      </c>
      <c r="C52" t="s">
        <v>17</v>
      </c>
      <c r="D52" t="s">
        <v>26</v>
      </c>
      <c r="E52">
        <v>33</v>
      </c>
      <c r="F52" t="s">
        <v>39</v>
      </c>
      <c r="G52" t="s">
        <v>60</v>
      </c>
      <c r="H52" t="s">
        <v>36</v>
      </c>
      <c r="I52" s="1">
        <v>44612</v>
      </c>
      <c r="J52" s="1">
        <v>44615</v>
      </c>
      <c r="L52">
        <v>3</v>
      </c>
      <c r="M52">
        <v>7</v>
      </c>
      <c r="N52" t="s">
        <v>28</v>
      </c>
      <c r="O52">
        <v>962919</v>
      </c>
      <c r="U52">
        <f>Table1[[#This Row],[Interview_Date]]-Table1[[#This Row],[Application_Date]]</f>
        <v>3</v>
      </c>
      <c r="V52" t="str">
        <f>IF(OR(Table1[[#This Row],[Offer_Date]]="",Table1[[#This Row],[Interview_Date]]=""),"",Table1[[#This Row],[Offer_Date]]-Table1[[#This Row],[Interview_Date]])</f>
        <v/>
      </c>
    </row>
    <row r="53" spans="1:22" x14ac:dyDescent="0.3">
      <c r="A53" t="s">
        <v>108</v>
      </c>
      <c r="B53" t="s">
        <v>42</v>
      </c>
      <c r="C53" t="s">
        <v>53</v>
      </c>
      <c r="D53" t="s">
        <v>26</v>
      </c>
      <c r="E53">
        <v>39</v>
      </c>
      <c r="F53" t="s">
        <v>74</v>
      </c>
      <c r="G53" t="s">
        <v>44</v>
      </c>
      <c r="H53" t="s">
        <v>36</v>
      </c>
      <c r="I53" s="1">
        <v>45220</v>
      </c>
      <c r="J53" s="1">
        <v>45230</v>
      </c>
      <c r="K53" s="1">
        <v>45232</v>
      </c>
      <c r="L53">
        <v>5</v>
      </c>
      <c r="M53">
        <v>4</v>
      </c>
      <c r="N53" t="s">
        <v>45</v>
      </c>
      <c r="O53">
        <v>1141578</v>
      </c>
      <c r="U53">
        <f>Table1[[#This Row],[Interview_Date]]-Table1[[#This Row],[Application_Date]]</f>
        <v>10</v>
      </c>
      <c r="V53">
        <f>IF(OR(Table1[[#This Row],[Offer_Date]]="",Table1[[#This Row],[Interview_Date]]=""),"",Table1[[#This Row],[Offer_Date]]-Table1[[#This Row],[Interview_Date]])</f>
        <v>2</v>
      </c>
    </row>
    <row r="54" spans="1:22" x14ac:dyDescent="0.3">
      <c r="A54" t="s">
        <v>109</v>
      </c>
      <c r="B54" t="s">
        <v>42</v>
      </c>
      <c r="C54" t="s">
        <v>43</v>
      </c>
      <c r="D54" t="s">
        <v>26</v>
      </c>
      <c r="E54">
        <v>45</v>
      </c>
      <c r="F54" t="s">
        <v>56</v>
      </c>
      <c r="G54" t="s">
        <v>60</v>
      </c>
      <c r="H54" t="s">
        <v>40</v>
      </c>
      <c r="I54" s="1">
        <v>44277</v>
      </c>
      <c r="J54" s="1">
        <v>44283</v>
      </c>
      <c r="L54">
        <v>3</v>
      </c>
      <c r="M54">
        <v>2</v>
      </c>
      <c r="N54" t="s">
        <v>48</v>
      </c>
      <c r="O54">
        <v>1008513</v>
      </c>
      <c r="U54">
        <f>Table1[[#This Row],[Interview_Date]]-Table1[[#This Row],[Application_Date]]</f>
        <v>6</v>
      </c>
      <c r="V54" t="str">
        <f>IF(OR(Table1[[#This Row],[Offer_Date]]="",Table1[[#This Row],[Interview_Date]]=""),"",Table1[[#This Row],[Offer_Date]]-Table1[[#This Row],[Interview_Date]])</f>
        <v/>
      </c>
    </row>
    <row r="55" spans="1:22" x14ac:dyDescent="0.3">
      <c r="A55" t="s">
        <v>110</v>
      </c>
      <c r="B55" t="s">
        <v>33</v>
      </c>
      <c r="C55" t="s">
        <v>59</v>
      </c>
      <c r="D55" t="s">
        <v>18</v>
      </c>
      <c r="E55">
        <v>39</v>
      </c>
      <c r="F55" t="s">
        <v>34</v>
      </c>
      <c r="G55" t="s">
        <v>60</v>
      </c>
      <c r="H55" t="s">
        <v>36</v>
      </c>
      <c r="I55" s="1">
        <v>44248</v>
      </c>
      <c r="J55" s="1">
        <v>44251</v>
      </c>
      <c r="K55" s="1">
        <v>44255</v>
      </c>
      <c r="L55">
        <v>5</v>
      </c>
      <c r="M55">
        <v>9</v>
      </c>
      <c r="N55" t="s">
        <v>28</v>
      </c>
      <c r="O55">
        <v>846581</v>
      </c>
      <c r="U55">
        <f>Table1[[#This Row],[Interview_Date]]-Table1[[#This Row],[Application_Date]]</f>
        <v>3</v>
      </c>
      <c r="V55">
        <f>IF(OR(Table1[[#This Row],[Offer_Date]]="",Table1[[#This Row],[Interview_Date]]=""),"",Table1[[#This Row],[Offer_Date]]-Table1[[#This Row],[Interview_Date]])</f>
        <v>4</v>
      </c>
    </row>
    <row r="56" spans="1:22" x14ac:dyDescent="0.3">
      <c r="A56" t="s">
        <v>111</v>
      </c>
      <c r="B56" t="s">
        <v>16</v>
      </c>
      <c r="C56" t="s">
        <v>17</v>
      </c>
      <c r="D56" t="s">
        <v>26</v>
      </c>
      <c r="E56">
        <v>29</v>
      </c>
      <c r="F56" t="s">
        <v>34</v>
      </c>
      <c r="G56" t="s">
        <v>44</v>
      </c>
      <c r="H56" t="s">
        <v>21</v>
      </c>
      <c r="I56" s="1">
        <v>44415</v>
      </c>
      <c r="J56" s="1">
        <v>44428</v>
      </c>
      <c r="K56" s="1">
        <v>44433</v>
      </c>
      <c r="L56">
        <v>2</v>
      </c>
      <c r="M56">
        <v>10</v>
      </c>
      <c r="N56" t="s">
        <v>28</v>
      </c>
      <c r="O56">
        <v>827194</v>
      </c>
      <c r="U56">
        <f>Table1[[#This Row],[Interview_Date]]-Table1[[#This Row],[Application_Date]]</f>
        <v>13</v>
      </c>
      <c r="V56">
        <f>IF(OR(Table1[[#This Row],[Offer_Date]]="",Table1[[#This Row],[Interview_Date]]=""),"",Table1[[#This Row],[Offer_Date]]-Table1[[#This Row],[Interview_Date]])</f>
        <v>5</v>
      </c>
    </row>
    <row r="57" spans="1:22" x14ac:dyDescent="0.3">
      <c r="A57" t="s">
        <v>112</v>
      </c>
      <c r="B57" t="s">
        <v>58</v>
      </c>
      <c r="C57" t="s">
        <v>43</v>
      </c>
      <c r="D57" t="s">
        <v>26</v>
      </c>
      <c r="E57">
        <v>37</v>
      </c>
      <c r="F57" t="s">
        <v>74</v>
      </c>
      <c r="G57" t="s">
        <v>35</v>
      </c>
      <c r="H57" t="s">
        <v>21</v>
      </c>
      <c r="I57" s="1">
        <v>44491</v>
      </c>
      <c r="J57" s="1">
        <v>44496</v>
      </c>
      <c r="L57">
        <v>3</v>
      </c>
      <c r="M57">
        <v>5</v>
      </c>
      <c r="N57" t="s">
        <v>28</v>
      </c>
      <c r="O57">
        <v>1038518</v>
      </c>
      <c r="U57">
        <f>Table1[[#This Row],[Interview_Date]]-Table1[[#This Row],[Application_Date]]</f>
        <v>5</v>
      </c>
      <c r="V57" t="str">
        <f>IF(OR(Table1[[#This Row],[Offer_Date]]="",Table1[[#This Row],[Interview_Date]]=""),"",Table1[[#This Row],[Offer_Date]]-Table1[[#This Row],[Interview_Date]])</f>
        <v/>
      </c>
    </row>
    <row r="58" spans="1:22" x14ac:dyDescent="0.3">
      <c r="A58" t="s">
        <v>113</v>
      </c>
      <c r="B58" t="s">
        <v>63</v>
      </c>
      <c r="C58" t="s">
        <v>69</v>
      </c>
      <c r="D58" t="s">
        <v>26</v>
      </c>
      <c r="E58">
        <v>43</v>
      </c>
      <c r="F58" t="s">
        <v>19</v>
      </c>
      <c r="G58" t="s">
        <v>20</v>
      </c>
      <c r="H58" t="s">
        <v>36</v>
      </c>
      <c r="I58" s="1">
        <v>44725</v>
      </c>
      <c r="J58" s="1">
        <v>44734</v>
      </c>
      <c r="L58">
        <v>2</v>
      </c>
      <c r="M58">
        <v>3</v>
      </c>
      <c r="N58" t="s">
        <v>45</v>
      </c>
      <c r="O58">
        <v>691707</v>
      </c>
      <c r="U58">
        <f>Table1[[#This Row],[Interview_Date]]-Table1[[#This Row],[Application_Date]]</f>
        <v>9</v>
      </c>
      <c r="V58" t="str">
        <f>IF(OR(Table1[[#This Row],[Offer_Date]]="",Table1[[#This Row],[Interview_Date]]=""),"",Table1[[#This Row],[Offer_Date]]-Table1[[#This Row],[Interview_Date]])</f>
        <v/>
      </c>
    </row>
    <row r="59" spans="1:22" x14ac:dyDescent="0.3">
      <c r="A59" t="s">
        <v>114</v>
      </c>
      <c r="B59" t="s">
        <v>47</v>
      </c>
      <c r="C59" t="s">
        <v>53</v>
      </c>
      <c r="D59" t="s">
        <v>18</v>
      </c>
      <c r="E59">
        <v>37</v>
      </c>
      <c r="F59" t="s">
        <v>39</v>
      </c>
      <c r="G59" t="s">
        <v>60</v>
      </c>
      <c r="H59" t="s">
        <v>54</v>
      </c>
      <c r="I59" s="1">
        <v>44351</v>
      </c>
      <c r="J59" s="1">
        <v>44365</v>
      </c>
      <c r="L59">
        <v>1</v>
      </c>
      <c r="M59">
        <v>5</v>
      </c>
      <c r="N59" t="s">
        <v>28</v>
      </c>
      <c r="O59">
        <v>1026283</v>
      </c>
      <c r="U59">
        <f>Table1[[#This Row],[Interview_Date]]-Table1[[#This Row],[Application_Date]]</f>
        <v>14</v>
      </c>
      <c r="V59" t="str">
        <f>IF(OR(Table1[[#This Row],[Offer_Date]]="",Table1[[#This Row],[Interview_Date]]=""),"",Table1[[#This Row],[Offer_Date]]-Table1[[#This Row],[Interview_Date]])</f>
        <v/>
      </c>
    </row>
    <row r="60" spans="1:22" x14ac:dyDescent="0.3">
      <c r="A60" t="s">
        <v>115</v>
      </c>
      <c r="B60" t="s">
        <v>33</v>
      </c>
      <c r="C60" t="s">
        <v>30</v>
      </c>
      <c r="D60" t="s">
        <v>18</v>
      </c>
      <c r="E60">
        <v>42</v>
      </c>
      <c r="F60" t="s">
        <v>34</v>
      </c>
      <c r="G60" t="s">
        <v>20</v>
      </c>
      <c r="H60" t="s">
        <v>40</v>
      </c>
      <c r="I60" s="1">
        <v>44569</v>
      </c>
      <c r="J60" s="1">
        <v>44572</v>
      </c>
      <c r="L60">
        <v>1</v>
      </c>
      <c r="M60">
        <v>2</v>
      </c>
      <c r="N60" t="s">
        <v>48</v>
      </c>
      <c r="O60">
        <v>897794</v>
      </c>
      <c r="U60">
        <f>Table1[[#This Row],[Interview_Date]]-Table1[[#This Row],[Application_Date]]</f>
        <v>3</v>
      </c>
      <c r="V60" t="str">
        <f>IF(OR(Table1[[#This Row],[Offer_Date]]="",Table1[[#This Row],[Interview_Date]]=""),"",Table1[[#This Row],[Offer_Date]]-Table1[[#This Row],[Interview_Date]])</f>
        <v/>
      </c>
    </row>
    <row r="61" spans="1:22" x14ac:dyDescent="0.3">
      <c r="A61" t="s">
        <v>116</v>
      </c>
      <c r="B61" t="s">
        <v>47</v>
      </c>
      <c r="C61" t="s">
        <v>66</v>
      </c>
      <c r="D61" t="s">
        <v>26</v>
      </c>
      <c r="E61">
        <v>37</v>
      </c>
      <c r="F61" t="s">
        <v>39</v>
      </c>
      <c r="G61" t="s">
        <v>27</v>
      </c>
      <c r="H61" t="s">
        <v>54</v>
      </c>
      <c r="I61" s="1">
        <v>44314</v>
      </c>
      <c r="J61" s="1">
        <v>44323</v>
      </c>
      <c r="L61">
        <v>2</v>
      </c>
      <c r="M61">
        <v>6</v>
      </c>
      <c r="N61" t="s">
        <v>45</v>
      </c>
      <c r="O61">
        <v>506928</v>
      </c>
      <c r="U61">
        <f>Table1[[#This Row],[Interview_Date]]-Table1[[#This Row],[Application_Date]]</f>
        <v>9</v>
      </c>
      <c r="V61" t="str">
        <f>IF(OR(Table1[[#This Row],[Offer_Date]]="",Table1[[#This Row],[Interview_Date]]=""),"",Table1[[#This Row],[Offer_Date]]-Table1[[#This Row],[Interview_Date]])</f>
        <v/>
      </c>
    </row>
    <row r="62" spans="1:22" x14ac:dyDescent="0.3">
      <c r="A62" t="s">
        <v>117</v>
      </c>
      <c r="B62" t="s">
        <v>58</v>
      </c>
      <c r="C62" t="s">
        <v>50</v>
      </c>
      <c r="D62" t="s">
        <v>26</v>
      </c>
      <c r="E62">
        <v>40</v>
      </c>
      <c r="F62" t="s">
        <v>34</v>
      </c>
      <c r="G62" t="s">
        <v>60</v>
      </c>
      <c r="H62" t="s">
        <v>36</v>
      </c>
      <c r="I62" s="1">
        <v>45306</v>
      </c>
      <c r="J62" s="1">
        <v>45317</v>
      </c>
      <c r="K62" s="1">
        <v>45324</v>
      </c>
      <c r="L62">
        <v>4</v>
      </c>
      <c r="M62">
        <v>7</v>
      </c>
      <c r="N62" t="s">
        <v>45</v>
      </c>
      <c r="O62">
        <v>470920</v>
      </c>
      <c r="U62">
        <f>Table1[[#This Row],[Interview_Date]]-Table1[[#This Row],[Application_Date]]</f>
        <v>11</v>
      </c>
      <c r="V62">
        <f>IF(OR(Table1[[#This Row],[Offer_Date]]="",Table1[[#This Row],[Interview_Date]]=""),"",Table1[[#This Row],[Offer_Date]]-Table1[[#This Row],[Interview_Date]])</f>
        <v>7</v>
      </c>
    </row>
    <row r="63" spans="1:22" x14ac:dyDescent="0.3">
      <c r="A63" t="s">
        <v>118</v>
      </c>
      <c r="B63" t="s">
        <v>42</v>
      </c>
      <c r="C63" t="s">
        <v>69</v>
      </c>
      <c r="D63" t="s">
        <v>18</v>
      </c>
      <c r="E63">
        <v>27</v>
      </c>
      <c r="F63" t="s">
        <v>39</v>
      </c>
      <c r="G63" t="s">
        <v>20</v>
      </c>
      <c r="H63" t="s">
        <v>51</v>
      </c>
      <c r="I63" s="1">
        <v>44857</v>
      </c>
      <c r="J63" s="1">
        <v>44868</v>
      </c>
      <c r="K63" s="1">
        <v>44872</v>
      </c>
      <c r="L63">
        <v>1</v>
      </c>
      <c r="M63">
        <v>2</v>
      </c>
      <c r="N63" t="s">
        <v>48</v>
      </c>
      <c r="O63">
        <v>1132664</v>
      </c>
      <c r="U63">
        <f>Table1[[#This Row],[Interview_Date]]-Table1[[#This Row],[Application_Date]]</f>
        <v>11</v>
      </c>
      <c r="V63">
        <f>IF(OR(Table1[[#This Row],[Offer_Date]]="",Table1[[#This Row],[Interview_Date]]=""),"",Table1[[#This Row],[Offer_Date]]-Table1[[#This Row],[Interview_Date]])</f>
        <v>4</v>
      </c>
    </row>
    <row r="64" spans="1:22" x14ac:dyDescent="0.3">
      <c r="A64" t="s">
        <v>119</v>
      </c>
      <c r="B64" t="s">
        <v>38</v>
      </c>
      <c r="C64" t="s">
        <v>53</v>
      </c>
      <c r="D64" t="s">
        <v>26</v>
      </c>
      <c r="E64">
        <v>45</v>
      </c>
      <c r="F64" t="s">
        <v>31</v>
      </c>
      <c r="G64" t="s">
        <v>27</v>
      </c>
      <c r="H64" t="s">
        <v>51</v>
      </c>
      <c r="I64" s="1">
        <v>44657</v>
      </c>
      <c r="J64" s="1">
        <v>44663</v>
      </c>
      <c r="K64" s="1">
        <v>44669</v>
      </c>
      <c r="L64">
        <v>1</v>
      </c>
      <c r="M64">
        <v>4</v>
      </c>
      <c r="N64" t="s">
        <v>28</v>
      </c>
      <c r="O64">
        <v>512169</v>
      </c>
      <c r="U64">
        <f>Table1[[#This Row],[Interview_Date]]-Table1[[#This Row],[Application_Date]]</f>
        <v>6</v>
      </c>
      <c r="V64">
        <f>IF(OR(Table1[[#This Row],[Offer_Date]]="",Table1[[#This Row],[Interview_Date]]=""),"",Table1[[#This Row],[Offer_Date]]-Table1[[#This Row],[Interview_Date]])</f>
        <v>6</v>
      </c>
    </row>
    <row r="65" spans="1:22" x14ac:dyDescent="0.3">
      <c r="A65" t="s">
        <v>120</v>
      </c>
      <c r="B65" t="s">
        <v>65</v>
      </c>
      <c r="C65" t="s">
        <v>53</v>
      </c>
      <c r="D65" t="s">
        <v>26</v>
      </c>
      <c r="E65">
        <v>23</v>
      </c>
      <c r="F65" t="s">
        <v>74</v>
      </c>
      <c r="G65" t="s">
        <v>35</v>
      </c>
      <c r="H65" t="s">
        <v>21</v>
      </c>
      <c r="I65" s="1">
        <v>44533</v>
      </c>
      <c r="J65" s="1">
        <v>44537</v>
      </c>
      <c r="L65">
        <v>3</v>
      </c>
      <c r="M65">
        <v>2</v>
      </c>
      <c r="N65" t="s">
        <v>28</v>
      </c>
      <c r="O65">
        <v>887437</v>
      </c>
      <c r="U65">
        <f>Table1[[#This Row],[Interview_Date]]-Table1[[#This Row],[Application_Date]]</f>
        <v>4</v>
      </c>
      <c r="V65" t="str">
        <f>IF(OR(Table1[[#This Row],[Offer_Date]]="",Table1[[#This Row],[Interview_Date]]=""),"",Table1[[#This Row],[Offer_Date]]-Table1[[#This Row],[Interview_Date]])</f>
        <v/>
      </c>
    </row>
    <row r="66" spans="1:22" x14ac:dyDescent="0.3">
      <c r="A66" t="s">
        <v>121</v>
      </c>
      <c r="B66" t="s">
        <v>63</v>
      </c>
      <c r="C66" t="s">
        <v>30</v>
      </c>
      <c r="D66" t="s">
        <v>26</v>
      </c>
      <c r="E66">
        <v>40</v>
      </c>
      <c r="F66" t="s">
        <v>56</v>
      </c>
      <c r="G66" t="s">
        <v>44</v>
      </c>
      <c r="H66" t="s">
        <v>40</v>
      </c>
      <c r="I66" s="1">
        <v>44406</v>
      </c>
      <c r="J66" s="1">
        <v>44413</v>
      </c>
      <c r="K66" s="1">
        <v>44416</v>
      </c>
      <c r="L66">
        <v>4</v>
      </c>
      <c r="M66">
        <v>3</v>
      </c>
      <c r="N66" t="s">
        <v>48</v>
      </c>
      <c r="O66">
        <v>1190022</v>
      </c>
      <c r="U66">
        <f>Table1[[#This Row],[Interview_Date]]-Table1[[#This Row],[Application_Date]]</f>
        <v>7</v>
      </c>
      <c r="V66">
        <f>IF(OR(Table1[[#This Row],[Offer_Date]]="",Table1[[#This Row],[Interview_Date]]=""),"",Table1[[#This Row],[Offer_Date]]-Table1[[#This Row],[Interview_Date]])</f>
        <v>3</v>
      </c>
    </row>
    <row r="67" spans="1:22" x14ac:dyDescent="0.3">
      <c r="A67" t="s">
        <v>122</v>
      </c>
      <c r="B67" t="s">
        <v>58</v>
      </c>
      <c r="C67" t="s">
        <v>94</v>
      </c>
      <c r="D67" t="s">
        <v>18</v>
      </c>
      <c r="E67">
        <v>38</v>
      </c>
      <c r="F67" t="s">
        <v>19</v>
      </c>
      <c r="G67" t="s">
        <v>35</v>
      </c>
      <c r="H67" t="s">
        <v>54</v>
      </c>
      <c r="I67" s="1">
        <v>44439</v>
      </c>
      <c r="J67" s="1">
        <v>44453</v>
      </c>
      <c r="L67">
        <v>5</v>
      </c>
      <c r="M67">
        <v>2</v>
      </c>
      <c r="N67" t="s">
        <v>22</v>
      </c>
      <c r="O67">
        <v>425268</v>
      </c>
      <c r="U67">
        <f>Table1[[#This Row],[Interview_Date]]-Table1[[#This Row],[Application_Date]]</f>
        <v>14</v>
      </c>
      <c r="V67" t="str">
        <f>IF(OR(Table1[[#This Row],[Offer_Date]]="",Table1[[#This Row],[Interview_Date]]=""),"",Table1[[#This Row],[Offer_Date]]-Table1[[#This Row],[Interview_Date]])</f>
        <v/>
      </c>
    </row>
    <row r="68" spans="1:22" x14ac:dyDescent="0.3">
      <c r="A68" t="s">
        <v>123</v>
      </c>
      <c r="B68" t="s">
        <v>42</v>
      </c>
      <c r="C68" t="s">
        <v>69</v>
      </c>
      <c r="D68" t="s">
        <v>18</v>
      </c>
      <c r="E68">
        <v>22</v>
      </c>
      <c r="F68" t="s">
        <v>31</v>
      </c>
      <c r="G68" t="s">
        <v>44</v>
      </c>
      <c r="H68" t="s">
        <v>40</v>
      </c>
      <c r="I68" s="1">
        <v>45272</v>
      </c>
      <c r="J68" s="1">
        <v>45282</v>
      </c>
      <c r="K68" s="1">
        <v>45287</v>
      </c>
      <c r="L68">
        <v>4</v>
      </c>
      <c r="M68">
        <v>8</v>
      </c>
      <c r="N68" t="s">
        <v>45</v>
      </c>
      <c r="O68">
        <v>655689</v>
      </c>
      <c r="U68">
        <f>Table1[[#This Row],[Interview_Date]]-Table1[[#This Row],[Application_Date]]</f>
        <v>10</v>
      </c>
      <c r="V68">
        <f>IF(OR(Table1[[#This Row],[Offer_Date]]="",Table1[[#This Row],[Interview_Date]]=""),"",Table1[[#This Row],[Offer_Date]]-Table1[[#This Row],[Interview_Date]])</f>
        <v>5</v>
      </c>
    </row>
    <row r="69" spans="1:22" x14ac:dyDescent="0.3">
      <c r="A69" t="s">
        <v>124</v>
      </c>
      <c r="B69" t="s">
        <v>63</v>
      </c>
      <c r="C69" t="s">
        <v>66</v>
      </c>
      <c r="D69" t="s">
        <v>18</v>
      </c>
      <c r="E69">
        <v>23</v>
      </c>
      <c r="F69" t="s">
        <v>56</v>
      </c>
      <c r="G69" t="s">
        <v>27</v>
      </c>
      <c r="H69" t="s">
        <v>54</v>
      </c>
      <c r="I69" s="1">
        <v>44297</v>
      </c>
      <c r="J69" s="1">
        <v>44301</v>
      </c>
      <c r="L69">
        <v>5</v>
      </c>
      <c r="M69">
        <v>10</v>
      </c>
      <c r="N69" t="s">
        <v>28</v>
      </c>
      <c r="O69">
        <v>1157770</v>
      </c>
      <c r="U69">
        <f>Table1[[#This Row],[Interview_Date]]-Table1[[#This Row],[Application_Date]]</f>
        <v>4</v>
      </c>
      <c r="V69" t="str">
        <f>IF(OR(Table1[[#This Row],[Offer_Date]]="",Table1[[#This Row],[Interview_Date]]=""),"",Table1[[#This Row],[Offer_Date]]-Table1[[#This Row],[Interview_Date]])</f>
        <v/>
      </c>
    </row>
    <row r="70" spans="1:22" x14ac:dyDescent="0.3">
      <c r="A70" t="s">
        <v>125</v>
      </c>
      <c r="B70" t="s">
        <v>42</v>
      </c>
      <c r="C70" t="s">
        <v>53</v>
      </c>
      <c r="D70" t="s">
        <v>26</v>
      </c>
      <c r="E70">
        <v>39</v>
      </c>
      <c r="F70" t="s">
        <v>34</v>
      </c>
      <c r="G70" t="s">
        <v>27</v>
      </c>
      <c r="H70" t="s">
        <v>36</v>
      </c>
      <c r="I70" s="1">
        <v>44869</v>
      </c>
      <c r="J70" s="1">
        <v>44882</v>
      </c>
      <c r="L70">
        <v>5</v>
      </c>
      <c r="M70">
        <v>9</v>
      </c>
      <c r="N70" t="s">
        <v>28</v>
      </c>
      <c r="O70">
        <v>714208</v>
      </c>
      <c r="U70">
        <f>Table1[[#This Row],[Interview_Date]]-Table1[[#This Row],[Application_Date]]</f>
        <v>13</v>
      </c>
      <c r="V70" t="str">
        <f>IF(OR(Table1[[#This Row],[Offer_Date]]="",Table1[[#This Row],[Interview_Date]]=""),"",Table1[[#This Row],[Offer_Date]]-Table1[[#This Row],[Interview_Date]])</f>
        <v/>
      </c>
    </row>
    <row r="71" spans="1:22" x14ac:dyDescent="0.3">
      <c r="A71" t="s">
        <v>126</v>
      </c>
      <c r="B71" t="s">
        <v>38</v>
      </c>
      <c r="C71" t="s">
        <v>50</v>
      </c>
      <c r="D71" t="s">
        <v>26</v>
      </c>
      <c r="E71">
        <v>28</v>
      </c>
      <c r="F71" t="s">
        <v>31</v>
      </c>
      <c r="G71" t="s">
        <v>35</v>
      </c>
      <c r="H71" t="s">
        <v>40</v>
      </c>
      <c r="I71" s="1">
        <v>45259</v>
      </c>
      <c r="J71" s="1">
        <v>45263</v>
      </c>
      <c r="K71" s="1">
        <v>45269</v>
      </c>
      <c r="L71">
        <v>3</v>
      </c>
      <c r="M71">
        <v>2</v>
      </c>
      <c r="N71" t="s">
        <v>28</v>
      </c>
      <c r="O71">
        <v>668136</v>
      </c>
      <c r="U71">
        <f>Table1[[#This Row],[Interview_Date]]-Table1[[#This Row],[Application_Date]]</f>
        <v>4</v>
      </c>
      <c r="V71">
        <f>IF(OR(Table1[[#This Row],[Offer_Date]]="",Table1[[#This Row],[Interview_Date]]=""),"",Table1[[#This Row],[Offer_Date]]-Table1[[#This Row],[Interview_Date]])</f>
        <v>6</v>
      </c>
    </row>
    <row r="72" spans="1:22" x14ac:dyDescent="0.3">
      <c r="A72" t="s">
        <v>127</v>
      </c>
      <c r="B72" t="s">
        <v>58</v>
      </c>
      <c r="C72" t="s">
        <v>94</v>
      </c>
      <c r="D72" t="s">
        <v>26</v>
      </c>
      <c r="E72">
        <v>31</v>
      </c>
      <c r="F72" t="s">
        <v>19</v>
      </c>
      <c r="G72" t="s">
        <v>20</v>
      </c>
      <c r="H72" t="s">
        <v>36</v>
      </c>
      <c r="I72" s="1">
        <v>44282</v>
      </c>
      <c r="J72" s="1">
        <v>44285</v>
      </c>
      <c r="K72" s="1">
        <v>44292</v>
      </c>
      <c r="L72">
        <v>2</v>
      </c>
      <c r="M72">
        <v>8</v>
      </c>
      <c r="N72" t="s">
        <v>28</v>
      </c>
      <c r="O72">
        <v>826871</v>
      </c>
      <c r="U72">
        <f>Table1[[#This Row],[Interview_Date]]-Table1[[#This Row],[Application_Date]]</f>
        <v>3</v>
      </c>
      <c r="V72">
        <f>IF(OR(Table1[[#This Row],[Offer_Date]]="",Table1[[#This Row],[Interview_Date]]=""),"",Table1[[#This Row],[Offer_Date]]-Table1[[#This Row],[Interview_Date]])</f>
        <v>7</v>
      </c>
    </row>
    <row r="73" spans="1:22" x14ac:dyDescent="0.3">
      <c r="A73" t="s">
        <v>128</v>
      </c>
      <c r="B73" t="s">
        <v>33</v>
      </c>
      <c r="C73" t="s">
        <v>66</v>
      </c>
      <c r="D73" t="s">
        <v>18</v>
      </c>
      <c r="E73">
        <v>30</v>
      </c>
      <c r="F73" t="s">
        <v>39</v>
      </c>
      <c r="G73" t="s">
        <v>20</v>
      </c>
      <c r="H73" t="s">
        <v>21</v>
      </c>
      <c r="I73" s="1">
        <v>44755</v>
      </c>
      <c r="J73" s="1">
        <v>44758</v>
      </c>
      <c r="L73">
        <v>4</v>
      </c>
      <c r="M73">
        <v>6</v>
      </c>
      <c r="N73" t="s">
        <v>28</v>
      </c>
      <c r="O73">
        <v>744892</v>
      </c>
      <c r="U73">
        <f>Table1[[#This Row],[Interview_Date]]-Table1[[#This Row],[Application_Date]]</f>
        <v>3</v>
      </c>
      <c r="V73" t="str">
        <f>IF(OR(Table1[[#This Row],[Offer_Date]]="",Table1[[#This Row],[Interview_Date]]=""),"",Table1[[#This Row],[Offer_Date]]-Table1[[#This Row],[Interview_Date]])</f>
        <v/>
      </c>
    </row>
    <row r="74" spans="1:22" x14ac:dyDescent="0.3">
      <c r="A74" t="s">
        <v>129</v>
      </c>
      <c r="B74" t="s">
        <v>58</v>
      </c>
      <c r="C74" t="s">
        <v>69</v>
      </c>
      <c r="D74" t="s">
        <v>18</v>
      </c>
      <c r="E74">
        <v>29</v>
      </c>
      <c r="F74" t="s">
        <v>34</v>
      </c>
      <c r="G74" t="s">
        <v>35</v>
      </c>
      <c r="H74" t="s">
        <v>36</v>
      </c>
      <c r="I74" s="1">
        <v>44712</v>
      </c>
      <c r="J74" s="1">
        <v>44719</v>
      </c>
      <c r="K74" s="1">
        <v>44726</v>
      </c>
      <c r="L74">
        <v>5</v>
      </c>
      <c r="M74">
        <v>10</v>
      </c>
      <c r="N74" t="s">
        <v>48</v>
      </c>
      <c r="O74">
        <v>1190929</v>
      </c>
      <c r="U74">
        <f>Table1[[#This Row],[Interview_Date]]-Table1[[#This Row],[Application_Date]]</f>
        <v>7</v>
      </c>
      <c r="V74">
        <f>IF(OR(Table1[[#This Row],[Offer_Date]]="",Table1[[#This Row],[Interview_Date]]=""),"",Table1[[#This Row],[Offer_Date]]-Table1[[#This Row],[Interview_Date]])</f>
        <v>7</v>
      </c>
    </row>
    <row r="75" spans="1:22" x14ac:dyDescent="0.3">
      <c r="A75" t="s">
        <v>130</v>
      </c>
      <c r="B75" t="s">
        <v>16</v>
      </c>
      <c r="C75" t="s">
        <v>50</v>
      </c>
      <c r="D75" t="s">
        <v>26</v>
      </c>
      <c r="E75">
        <v>28</v>
      </c>
      <c r="F75" t="s">
        <v>34</v>
      </c>
      <c r="G75" t="s">
        <v>35</v>
      </c>
      <c r="H75" t="s">
        <v>54</v>
      </c>
      <c r="I75" s="1">
        <v>45333</v>
      </c>
      <c r="J75" s="1">
        <v>45341</v>
      </c>
      <c r="L75">
        <v>5</v>
      </c>
      <c r="M75">
        <v>7</v>
      </c>
      <c r="N75" t="s">
        <v>48</v>
      </c>
      <c r="O75">
        <v>911476</v>
      </c>
      <c r="U75">
        <f>Table1[[#This Row],[Interview_Date]]-Table1[[#This Row],[Application_Date]]</f>
        <v>8</v>
      </c>
      <c r="V75" t="str">
        <f>IF(OR(Table1[[#This Row],[Offer_Date]]="",Table1[[#This Row],[Interview_Date]]=""),"",Table1[[#This Row],[Offer_Date]]-Table1[[#This Row],[Interview_Date]])</f>
        <v/>
      </c>
    </row>
    <row r="76" spans="1:22" x14ac:dyDescent="0.3">
      <c r="A76" t="s">
        <v>131</v>
      </c>
      <c r="B76" t="s">
        <v>47</v>
      </c>
      <c r="C76" t="s">
        <v>30</v>
      </c>
      <c r="D76" t="s">
        <v>26</v>
      </c>
      <c r="E76">
        <v>45</v>
      </c>
      <c r="F76" t="s">
        <v>56</v>
      </c>
      <c r="G76" t="s">
        <v>20</v>
      </c>
      <c r="H76" t="s">
        <v>21</v>
      </c>
      <c r="I76" s="1">
        <v>45148</v>
      </c>
      <c r="J76" s="1">
        <v>45158</v>
      </c>
      <c r="K76" s="1">
        <v>45161</v>
      </c>
      <c r="L76">
        <v>2</v>
      </c>
      <c r="M76">
        <v>5</v>
      </c>
      <c r="N76" t="s">
        <v>45</v>
      </c>
      <c r="O76">
        <v>767924</v>
      </c>
      <c r="U76">
        <f>Table1[[#This Row],[Interview_Date]]-Table1[[#This Row],[Application_Date]]</f>
        <v>10</v>
      </c>
      <c r="V76">
        <f>IF(OR(Table1[[#This Row],[Offer_Date]]="",Table1[[#This Row],[Interview_Date]]=""),"",Table1[[#This Row],[Offer_Date]]-Table1[[#This Row],[Interview_Date]])</f>
        <v>3</v>
      </c>
    </row>
    <row r="77" spans="1:22" x14ac:dyDescent="0.3">
      <c r="A77" t="s">
        <v>132</v>
      </c>
      <c r="B77" t="s">
        <v>47</v>
      </c>
      <c r="C77" t="s">
        <v>25</v>
      </c>
      <c r="D77" t="s">
        <v>18</v>
      </c>
      <c r="E77">
        <v>41</v>
      </c>
      <c r="F77" t="s">
        <v>39</v>
      </c>
      <c r="G77" t="s">
        <v>35</v>
      </c>
      <c r="H77" t="s">
        <v>51</v>
      </c>
      <c r="I77" s="1">
        <v>44360</v>
      </c>
      <c r="J77" s="1">
        <v>44363</v>
      </c>
      <c r="K77" s="1">
        <v>44369</v>
      </c>
      <c r="L77">
        <v>2</v>
      </c>
      <c r="M77">
        <v>5</v>
      </c>
      <c r="N77" t="s">
        <v>45</v>
      </c>
      <c r="O77">
        <v>480475</v>
      </c>
      <c r="U77">
        <f>Table1[[#This Row],[Interview_Date]]-Table1[[#This Row],[Application_Date]]</f>
        <v>3</v>
      </c>
      <c r="V77">
        <f>IF(OR(Table1[[#This Row],[Offer_Date]]="",Table1[[#This Row],[Interview_Date]]=""),"",Table1[[#This Row],[Offer_Date]]-Table1[[#This Row],[Interview_Date]])</f>
        <v>6</v>
      </c>
    </row>
    <row r="78" spans="1:22" x14ac:dyDescent="0.3">
      <c r="A78" t="s">
        <v>133</v>
      </c>
      <c r="B78" t="s">
        <v>42</v>
      </c>
      <c r="C78" t="s">
        <v>43</v>
      </c>
      <c r="D78" t="s">
        <v>26</v>
      </c>
      <c r="E78">
        <v>39</v>
      </c>
      <c r="F78" t="s">
        <v>74</v>
      </c>
      <c r="G78" t="s">
        <v>44</v>
      </c>
      <c r="H78" t="s">
        <v>54</v>
      </c>
      <c r="I78" s="1">
        <v>44661</v>
      </c>
      <c r="J78" s="1">
        <v>44664</v>
      </c>
      <c r="K78" s="1">
        <v>44667</v>
      </c>
      <c r="L78">
        <v>4</v>
      </c>
      <c r="M78">
        <v>6</v>
      </c>
      <c r="N78" t="s">
        <v>22</v>
      </c>
      <c r="O78">
        <v>408298</v>
      </c>
      <c r="U78">
        <f>Table1[[#This Row],[Interview_Date]]-Table1[[#This Row],[Application_Date]]</f>
        <v>3</v>
      </c>
      <c r="V78">
        <f>IF(OR(Table1[[#This Row],[Offer_Date]]="",Table1[[#This Row],[Interview_Date]]=""),"",Table1[[#This Row],[Offer_Date]]-Table1[[#This Row],[Interview_Date]])</f>
        <v>3</v>
      </c>
    </row>
    <row r="79" spans="1:22" x14ac:dyDescent="0.3">
      <c r="A79" t="s">
        <v>134</v>
      </c>
      <c r="B79" t="s">
        <v>24</v>
      </c>
      <c r="C79" t="s">
        <v>69</v>
      </c>
      <c r="D79" t="s">
        <v>26</v>
      </c>
      <c r="E79">
        <v>23</v>
      </c>
      <c r="F79" t="s">
        <v>39</v>
      </c>
      <c r="G79" t="s">
        <v>35</v>
      </c>
      <c r="H79" t="s">
        <v>21</v>
      </c>
      <c r="I79" s="1">
        <v>45223</v>
      </c>
      <c r="J79" s="1">
        <v>45227</v>
      </c>
      <c r="L79">
        <v>2</v>
      </c>
      <c r="M79">
        <v>9</v>
      </c>
      <c r="N79" t="s">
        <v>48</v>
      </c>
      <c r="O79">
        <v>812899</v>
      </c>
      <c r="U79">
        <f>Table1[[#This Row],[Interview_Date]]-Table1[[#This Row],[Application_Date]]</f>
        <v>4</v>
      </c>
      <c r="V79" t="str">
        <f>IF(OR(Table1[[#This Row],[Offer_Date]]="",Table1[[#This Row],[Interview_Date]]=""),"",Table1[[#This Row],[Offer_Date]]-Table1[[#This Row],[Interview_Date]])</f>
        <v/>
      </c>
    </row>
    <row r="80" spans="1:22" x14ac:dyDescent="0.3">
      <c r="A80" t="s">
        <v>135</v>
      </c>
      <c r="B80" t="s">
        <v>33</v>
      </c>
      <c r="C80" t="s">
        <v>17</v>
      </c>
      <c r="D80" t="s">
        <v>18</v>
      </c>
      <c r="E80">
        <v>44</v>
      </c>
      <c r="F80" t="s">
        <v>39</v>
      </c>
      <c r="G80" t="s">
        <v>27</v>
      </c>
      <c r="H80" t="s">
        <v>21</v>
      </c>
      <c r="I80" s="1">
        <v>45014</v>
      </c>
      <c r="J80" s="1">
        <v>45022</v>
      </c>
      <c r="L80">
        <v>1</v>
      </c>
      <c r="M80">
        <v>2</v>
      </c>
      <c r="N80" t="s">
        <v>48</v>
      </c>
      <c r="O80">
        <v>534925</v>
      </c>
      <c r="U80">
        <f>Table1[[#This Row],[Interview_Date]]-Table1[[#This Row],[Application_Date]]</f>
        <v>8</v>
      </c>
      <c r="V80" t="str">
        <f>IF(OR(Table1[[#This Row],[Offer_Date]]="",Table1[[#This Row],[Interview_Date]]=""),"",Table1[[#This Row],[Offer_Date]]-Table1[[#This Row],[Interview_Date]])</f>
        <v/>
      </c>
    </row>
    <row r="81" spans="1:22" x14ac:dyDescent="0.3">
      <c r="A81" t="s">
        <v>136</v>
      </c>
      <c r="B81" t="s">
        <v>42</v>
      </c>
      <c r="C81" t="s">
        <v>30</v>
      </c>
      <c r="D81" t="s">
        <v>26</v>
      </c>
      <c r="E81">
        <v>43</v>
      </c>
      <c r="F81" t="s">
        <v>31</v>
      </c>
      <c r="G81" t="s">
        <v>60</v>
      </c>
      <c r="H81" t="s">
        <v>40</v>
      </c>
      <c r="I81" s="1">
        <v>44236</v>
      </c>
      <c r="J81" s="1">
        <v>44239</v>
      </c>
      <c r="L81">
        <v>4</v>
      </c>
      <c r="M81">
        <v>9</v>
      </c>
      <c r="N81" t="s">
        <v>28</v>
      </c>
      <c r="O81">
        <v>955242</v>
      </c>
      <c r="U81">
        <f>Table1[[#This Row],[Interview_Date]]-Table1[[#This Row],[Application_Date]]</f>
        <v>3</v>
      </c>
      <c r="V81" t="str">
        <f>IF(OR(Table1[[#This Row],[Offer_Date]]="",Table1[[#This Row],[Interview_Date]]=""),"",Table1[[#This Row],[Offer_Date]]-Table1[[#This Row],[Interview_Date]])</f>
        <v/>
      </c>
    </row>
    <row r="82" spans="1:22" x14ac:dyDescent="0.3">
      <c r="A82" t="s">
        <v>137</v>
      </c>
      <c r="B82" t="s">
        <v>24</v>
      </c>
      <c r="C82" t="s">
        <v>69</v>
      </c>
      <c r="D82" t="s">
        <v>26</v>
      </c>
      <c r="E82">
        <v>23</v>
      </c>
      <c r="F82" t="s">
        <v>31</v>
      </c>
      <c r="G82" t="s">
        <v>44</v>
      </c>
      <c r="H82" t="s">
        <v>36</v>
      </c>
      <c r="I82" s="1">
        <v>44475</v>
      </c>
      <c r="J82" s="1">
        <v>44485</v>
      </c>
      <c r="L82">
        <v>1</v>
      </c>
      <c r="M82">
        <v>10</v>
      </c>
      <c r="N82" t="s">
        <v>28</v>
      </c>
      <c r="O82">
        <v>554675</v>
      </c>
      <c r="U82">
        <f>Table1[[#This Row],[Interview_Date]]-Table1[[#This Row],[Application_Date]]</f>
        <v>10</v>
      </c>
      <c r="V82" t="str">
        <f>IF(OR(Table1[[#This Row],[Offer_Date]]="",Table1[[#This Row],[Interview_Date]]=""),"",Table1[[#This Row],[Offer_Date]]-Table1[[#This Row],[Interview_Date]])</f>
        <v/>
      </c>
    </row>
    <row r="83" spans="1:22" x14ac:dyDescent="0.3">
      <c r="A83" t="s">
        <v>138</v>
      </c>
      <c r="B83" t="s">
        <v>42</v>
      </c>
      <c r="C83" t="s">
        <v>66</v>
      </c>
      <c r="D83" t="s">
        <v>26</v>
      </c>
      <c r="E83">
        <v>39</v>
      </c>
      <c r="F83" t="s">
        <v>34</v>
      </c>
      <c r="G83" t="s">
        <v>20</v>
      </c>
      <c r="H83" t="s">
        <v>51</v>
      </c>
      <c r="I83" s="1">
        <v>45322</v>
      </c>
      <c r="J83" s="1">
        <v>45331</v>
      </c>
      <c r="L83">
        <v>4</v>
      </c>
      <c r="M83">
        <v>5</v>
      </c>
      <c r="N83" t="s">
        <v>45</v>
      </c>
      <c r="O83">
        <v>1015836</v>
      </c>
      <c r="U83">
        <f>Table1[[#This Row],[Interview_Date]]-Table1[[#This Row],[Application_Date]]</f>
        <v>9</v>
      </c>
      <c r="V83" t="str">
        <f>IF(OR(Table1[[#This Row],[Offer_Date]]="",Table1[[#This Row],[Interview_Date]]=""),"",Table1[[#This Row],[Offer_Date]]-Table1[[#This Row],[Interview_Date]])</f>
        <v/>
      </c>
    </row>
    <row r="84" spans="1:22" x14ac:dyDescent="0.3">
      <c r="A84" t="s">
        <v>139</v>
      </c>
      <c r="B84" t="s">
        <v>58</v>
      </c>
      <c r="C84" t="s">
        <v>59</v>
      </c>
      <c r="D84" t="s">
        <v>26</v>
      </c>
      <c r="E84">
        <v>25</v>
      </c>
      <c r="F84" t="s">
        <v>34</v>
      </c>
      <c r="G84" t="s">
        <v>35</v>
      </c>
      <c r="H84" t="s">
        <v>36</v>
      </c>
      <c r="I84" s="1">
        <v>45033</v>
      </c>
      <c r="J84" s="1">
        <v>45044</v>
      </c>
      <c r="K84" s="1">
        <v>45049</v>
      </c>
      <c r="L84">
        <v>4</v>
      </c>
      <c r="M84">
        <v>6</v>
      </c>
      <c r="N84" t="s">
        <v>45</v>
      </c>
      <c r="O84">
        <v>351591</v>
      </c>
      <c r="U84">
        <f>Table1[[#This Row],[Interview_Date]]-Table1[[#This Row],[Application_Date]]</f>
        <v>11</v>
      </c>
      <c r="V84">
        <f>IF(OR(Table1[[#This Row],[Offer_Date]]="",Table1[[#This Row],[Interview_Date]]=""),"",Table1[[#This Row],[Offer_Date]]-Table1[[#This Row],[Interview_Date]])</f>
        <v>5</v>
      </c>
    </row>
    <row r="85" spans="1:22" x14ac:dyDescent="0.3">
      <c r="A85" t="s">
        <v>140</v>
      </c>
      <c r="B85" t="s">
        <v>42</v>
      </c>
      <c r="C85" t="s">
        <v>25</v>
      </c>
      <c r="D85" t="s">
        <v>18</v>
      </c>
      <c r="E85">
        <v>28</v>
      </c>
      <c r="F85" t="s">
        <v>19</v>
      </c>
      <c r="G85" t="s">
        <v>35</v>
      </c>
      <c r="H85" t="s">
        <v>54</v>
      </c>
      <c r="I85" s="1">
        <v>45071</v>
      </c>
      <c r="J85" s="1">
        <v>45077</v>
      </c>
      <c r="L85">
        <v>2</v>
      </c>
      <c r="M85">
        <v>6</v>
      </c>
      <c r="N85" t="s">
        <v>28</v>
      </c>
      <c r="O85">
        <v>697770</v>
      </c>
      <c r="U85">
        <f>Table1[[#This Row],[Interview_Date]]-Table1[[#This Row],[Application_Date]]</f>
        <v>6</v>
      </c>
      <c r="V85" t="str">
        <f>IF(OR(Table1[[#This Row],[Offer_Date]]="",Table1[[#This Row],[Interview_Date]]=""),"",Table1[[#This Row],[Offer_Date]]-Table1[[#This Row],[Interview_Date]])</f>
        <v/>
      </c>
    </row>
    <row r="86" spans="1:22" x14ac:dyDescent="0.3">
      <c r="A86" t="s">
        <v>141</v>
      </c>
      <c r="B86" t="s">
        <v>16</v>
      </c>
      <c r="C86" t="s">
        <v>43</v>
      </c>
      <c r="D86" t="s">
        <v>18</v>
      </c>
      <c r="E86">
        <v>31</v>
      </c>
      <c r="F86" t="s">
        <v>56</v>
      </c>
      <c r="G86" t="s">
        <v>60</v>
      </c>
      <c r="H86" t="s">
        <v>51</v>
      </c>
      <c r="I86" s="1">
        <v>44413</v>
      </c>
      <c r="J86" s="1">
        <v>44428</v>
      </c>
      <c r="L86">
        <v>1</v>
      </c>
      <c r="M86">
        <v>5</v>
      </c>
      <c r="N86" t="s">
        <v>45</v>
      </c>
      <c r="O86">
        <v>1081652</v>
      </c>
      <c r="U86">
        <f>Table1[[#This Row],[Interview_Date]]-Table1[[#This Row],[Application_Date]]</f>
        <v>15</v>
      </c>
      <c r="V86" t="str">
        <f>IF(OR(Table1[[#This Row],[Offer_Date]]="",Table1[[#This Row],[Interview_Date]]=""),"",Table1[[#This Row],[Offer_Date]]-Table1[[#This Row],[Interview_Date]])</f>
        <v/>
      </c>
    </row>
    <row r="87" spans="1:22" x14ac:dyDescent="0.3">
      <c r="A87" t="s">
        <v>142</v>
      </c>
      <c r="B87" t="s">
        <v>42</v>
      </c>
      <c r="C87" t="s">
        <v>53</v>
      </c>
      <c r="D87" t="s">
        <v>26</v>
      </c>
      <c r="E87">
        <v>24</v>
      </c>
      <c r="F87" t="s">
        <v>56</v>
      </c>
      <c r="G87" t="s">
        <v>60</v>
      </c>
      <c r="H87" t="s">
        <v>36</v>
      </c>
      <c r="I87" s="1">
        <v>44756</v>
      </c>
      <c r="J87" s="1">
        <v>44766</v>
      </c>
      <c r="L87">
        <v>5</v>
      </c>
      <c r="M87">
        <v>6</v>
      </c>
      <c r="N87" t="s">
        <v>45</v>
      </c>
      <c r="O87">
        <v>322631</v>
      </c>
      <c r="U87">
        <f>Table1[[#This Row],[Interview_Date]]-Table1[[#This Row],[Application_Date]]</f>
        <v>10</v>
      </c>
      <c r="V87" t="str">
        <f>IF(OR(Table1[[#This Row],[Offer_Date]]="",Table1[[#This Row],[Interview_Date]]=""),"",Table1[[#This Row],[Offer_Date]]-Table1[[#This Row],[Interview_Date]])</f>
        <v/>
      </c>
    </row>
    <row r="88" spans="1:22" x14ac:dyDescent="0.3">
      <c r="A88" t="s">
        <v>143</v>
      </c>
      <c r="B88" t="s">
        <v>65</v>
      </c>
      <c r="C88" t="s">
        <v>66</v>
      </c>
      <c r="D88" t="s">
        <v>26</v>
      </c>
      <c r="E88">
        <v>36</v>
      </c>
      <c r="F88" t="s">
        <v>39</v>
      </c>
      <c r="G88" t="s">
        <v>20</v>
      </c>
      <c r="H88" t="s">
        <v>40</v>
      </c>
      <c r="I88" s="1">
        <v>44999</v>
      </c>
      <c r="J88" s="1">
        <v>45012</v>
      </c>
      <c r="K88" s="1">
        <v>45014</v>
      </c>
      <c r="L88">
        <v>3</v>
      </c>
      <c r="M88">
        <v>6</v>
      </c>
      <c r="N88" t="s">
        <v>22</v>
      </c>
      <c r="O88">
        <v>560337</v>
      </c>
      <c r="U88">
        <f>Table1[[#This Row],[Interview_Date]]-Table1[[#This Row],[Application_Date]]</f>
        <v>13</v>
      </c>
      <c r="V88">
        <f>IF(OR(Table1[[#This Row],[Offer_Date]]="",Table1[[#This Row],[Interview_Date]]=""),"",Table1[[#This Row],[Offer_Date]]-Table1[[#This Row],[Interview_Date]])</f>
        <v>2</v>
      </c>
    </row>
    <row r="89" spans="1:22" x14ac:dyDescent="0.3">
      <c r="A89" t="s">
        <v>144</v>
      </c>
      <c r="B89" t="s">
        <v>24</v>
      </c>
      <c r="C89" t="s">
        <v>69</v>
      </c>
      <c r="D89" t="s">
        <v>18</v>
      </c>
      <c r="E89">
        <v>34</v>
      </c>
      <c r="F89" t="s">
        <v>74</v>
      </c>
      <c r="G89" t="s">
        <v>35</v>
      </c>
      <c r="H89" t="s">
        <v>54</v>
      </c>
      <c r="I89" s="1">
        <v>44979</v>
      </c>
      <c r="J89" s="1">
        <v>44993</v>
      </c>
      <c r="L89">
        <v>1</v>
      </c>
      <c r="M89">
        <v>7</v>
      </c>
      <c r="N89" t="s">
        <v>48</v>
      </c>
      <c r="O89">
        <v>944403</v>
      </c>
      <c r="U89">
        <f>Table1[[#This Row],[Interview_Date]]-Table1[[#This Row],[Application_Date]]</f>
        <v>14</v>
      </c>
      <c r="V89" t="str">
        <f>IF(OR(Table1[[#This Row],[Offer_Date]]="",Table1[[#This Row],[Interview_Date]]=""),"",Table1[[#This Row],[Offer_Date]]-Table1[[#This Row],[Interview_Date]])</f>
        <v/>
      </c>
    </row>
    <row r="90" spans="1:22" x14ac:dyDescent="0.3">
      <c r="A90" t="s">
        <v>145</v>
      </c>
      <c r="B90" t="s">
        <v>65</v>
      </c>
      <c r="C90" t="s">
        <v>17</v>
      </c>
      <c r="D90" t="s">
        <v>18</v>
      </c>
      <c r="E90">
        <v>45</v>
      </c>
      <c r="F90" t="s">
        <v>34</v>
      </c>
      <c r="G90" t="s">
        <v>60</v>
      </c>
      <c r="H90" t="s">
        <v>54</v>
      </c>
      <c r="I90" s="1">
        <v>44301</v>
      </c>
      <c r="J90" s="1">
        <v>44304</v>
      </c>
      <c r="K90" s="1">
        <v>44306</v>
      </c>
      <c r="L90">
        <v>2</v>
      </c>
      <c r="M90">
        <v>4</v>
      </c>
      <c r="N90" t="s">
        <v>22</v>
      </c>
      <c r="O90">
        <v>1018066</v>
      </c>
      <c r="U90">
        <f>Table1[[#This Row],[Interview_Date]]-Table1[[#This Row],[Application_Date]]</f>
        <v>3</v>
      </c>
      <c r="V90">
        <f>IF(OR(Table1[[#This Row],[Offer_Date]]="",Table1[[#This Row],[Interview_Date]]=""),"",Table1[[#This Row],[Offer_Date]]-Table1[[#This Row],[Interview_Date]])</f>
        <v>2</v>
      </c>
    </row>
    <row r="91" spans="1:22" x14ac:dyDescent="0.3">
      <c r="A91" t="s">
        <v>146</v>
      </c>
      <c r="B91" t="s">
        <v>38</v>
      </c>
      <c r="C91" t="s">
        <v>30</v>
      </c>
      <c r="D91" t="s">
        <v>26</v>
      </c>
      <c r="E91">
        <v>38</v>
      </c>
      <c r="F91" t="s">
        <v>74</v>
      </c>
      <c r="G91" t="s">
        <v>20</v>
      </c>
      <c r="H91" t="s">
        <v>54</v>
      </c>
      <c r="I91" s="1">
        <v>44777</v>
      </c>
      <c r="J91" s="1">
        <v>44792</v>
      </c>
      <c r="L91">
        <v>4</v>
      </c>
      <c r="M91">
        <v>6</v>
      </c>
      <c r="N91" t="s">
        <v>28</v>
      </c>
      <c r="O91">
        <v>690698</v>
      </c>
      <c r="U91">
        <f>Table1[[#This Row],[Interview_Date]]-Table1[[#This Row],[Application_Date]]</f>
        <v>15</v>
      </c>
      <c r="V91" t="str">
        <f>IF(OR(Table1[[#This Row],[Offer_Date]]="",Table1[[#This Row],[Interview_Date]]=""),"",Table1[[#This Row],[Offer_Date]]-Table1[[#This Row],[Interview_Date]])</f>
        <v/>
      </c>
    </row>
    <row r="92" spans="1:22" x14ac:dyDescent="0.3">
      <c r="A92" t="s">
        <v>147</v>
      </c>
      <c r="B92" t="s">
        <v>65</v>
      </c>
      <c r="C92" t="s">
        <v>30</v>
      </c>
      <c r="D92" t="s">
        <v>26</v>
      </c>
      <c r="E92">
        <v>33</v>
      </c>
      <c r="F92" t="s">
        <v>31</v>
      </c>
      <c r="G92" t="s">
        <v>35</v>
      </c>
      <c r="H92" t="s">
        <v>51</v>
      </c>
      <c r="I92" s="1">
        <v>44214</v>
      </c>
      <c r="J92" s="1">
        <v>44227</v>
      </c>
      <c r="K92" s="1">
        <v>44230</v>
      </c>
      <c r="L92">
        <v>1</v>
      </c>
      <c r="M92">
        <v>8</v>
      </c>
      <c r="N92" t="s">
        <v>28</v>
      </c>
      <c r="O92">
        <v>311456</v>
      </c>
      <c r="U92">
        <f>Table1[[#This Row],[Interview_Date]]-Table1[[#This Row],[Application_Date]]</f>
        <v>13</v>
      </c>
      <c r="V92">
        <f>IF(OR(Table1[[#This Row],[Offer_Date]]="",Table1[[#This Row],[Interview_Date]]=""),"",Table1[[#This Row],[Offer_Date]]-Table1[[#This Row],[Interview_Date]])</f>
        <v>3</v>
      </c>
    </row>
    <row r="93" spans="1:22" x14ac:dyDescent="0.3">
      <c r="A93" t="s">
        <v>148</v>
      </c>
      <c r="B93" t="s">
        <v>33</v>
      </c>
      <c r="C93" t="s">
        <v>59</v>
      </c>
      <c r="D93" t="s">
        <v>18</v>
      </c>
      <c r="E93">
        <v>27</v>
      </c>
      <c r="F93" t="s">
        <v>39</v>
      </c>
      <c r="G93" t="s">
        <v>20</v>
      </c>
      <c r="H93" t="s">
        <v>36</v>
      </c>
      <c r="I93" s="1">
        <v>44857</v>
      </c>
      <c r="J93" s="1">
        <v>44868</v>
      </c>
      <c r="K93" s="1">
        <v>44871</v>
      </c>
      <c r="L93">
        <v>1</v>
      </c>
      <c r="M93">
        <v>6</v>
      </c>
      <c r="N93" t="s">
        <v>28</v>
      </c>
      <c r="O93">
        <v>997970</v>
      </c>
      <c r="U93">
        <f>Table1[[#This Row],[Interview_Date]]-Table1[[#This Row],[Application_Date]]</f>
        <v>11</v>
      </c>
      <c r="V93">
        <f>IF(OR(Table1[[#This Row],[Offer_Date]]="",Table1[[#This Row],[Interview_Date]]=""),"",Table1[[#This Row],[Offer_Date]]-Table1[[#This Row],[Interview_Date]])</f>
        <v>3</v>
      </c>
    </row>
    <row r="94" spans="1:22" x14ac:dyDescent="0.3">
      <c r="A94" t="s">
        <v>149</v>
      </c>
      <c r="B94" t="s">
        <v>47</v>
      </c>
      <c r="C94" t="s">
        <v>59</v>
      </c>
      <c r="D94" t="s">
        <v>26</v>
      </c>
      <c r="E94">
        <v>40</v>
      </c>
      <c r="F94" t="s">
        <v>34</v>
      </c>
      <c r="G94" t="s">
        <v>20</v>
      </c>
      <c r="H94" t="s">
        <v>21</v>
      </c>
      <c r="I94" s="1">
        <v>45190</v>
      </c>
      <c r="J94" s="1">
        <v>45203</v>
      </c>
      <c r="K94" s="1">
        <v>45206</v>
      </c>
      <c r="L94">
        <v>3</v>
      </c>
      <c r="M94">
        <v>8</v>
      </c>
      <c r="N94" t="s">
        <v>45</v>
      </c>
      <c r="O94">
        <v>922859</v>
      </c>
      <c r="U94">
        <f>Table1[[#This Row],[Interview_Date]]-Table1[[#This Row],[Application_Date]]</f>
        <v>13</v>
      </c>
      <c r="V94">
        <f>IF(OR(Table1[[#This Row],[Offer_Date]]="",Table1[[#This Row],[Interview_Date]]=""),"",Table1[[#This Row],[Offer_Date]]-Table1[[#This Row],[Interview_Date]])</f>
        <v>3</v>
      </c>
    </row>
    <row r="95" spans="1:22" x14ac:dyDescent="0.3">
      <c r="A95" t="s">
        <v>150</v>
      </c>
      <c r="B95" t="s">
        <v>65</v>
      </c>
      <c r="C95" t="s">
        <v>25</v>
      </c>
      <c r="D95" t="s">
        <v>18</v>
      </c>
      <c r="E95">
        <v>45</v>
      </c>
      <c r="F95" t="s">
        <v>56</v>
      </c>
      <c r="G95" t="s">
        <v>44</v>
      </c>
      <c r="H95" t="s">
        <v>51</v>
      </c>
      <c r="I95" s="1">
        <v>45396</v>
      </c>
      <c r="J95" s="1">
        <v>45410</v>
      </c>
      <c r="L95">
        <v>3</v>
      </c>
      <c r="M95">
        <v>6</v>
      </c>
      <c r="N95" t="s">
        <v>48</v>
      </c>
      <c r="O95">
        <v>775647</v>
      </c>
      <c r="U95">
        <f>Table1[[#This Row],[Interview_Date]]-Table1[[#This Row],[Application_Date]]</f>
        <v>14</v>
      </c>
      <c r="V95" t="str">
        <f>IF(OR(Table1[[#This Row],[Offer_Date]]="",Table1[[#This Row],[Interview_Date]]=""),"",Table1[[#This Row],[Offer_Date]]-Table1[[#This Row],[Interview_Date]])</f>
        <v/>
      </c>
    </row>
    <row r="96" spans="1:22" x14ac:dyDescent="0.3">
      <c r="A96" t="s">
        <v>151</v>
      </c>
      <c r="B96" t="s">
        <v>58</v>
      </c>
      <c r="C96" t="s">
        <v>66</v>
      </c>
      <c r="D96" t="s">
        <v>18</v>
      </c>
      <c r="E96">
        <v>34</v>
      </c>
      <c r="F96" t="s">
        <v>34</v>
      </c>
      <c r="G96" t="s">
        <v>27</v>
      </c>
      <c r="H96" t="s">
        <v>51</v>
      </c>
      <c r="I96" s="1">
        <v>44604</v>
      </c>
      <c r="J96" s="1">
        <v>44608</v>
      </c>
      <c r="K96" s="1">
        <v>44611</v>
      </c>
      <c r="L96">
        <v>4</v>
      </c>
      <c r="M96">
        <v>7</v>
      </c>
      <c r="N96" t="s">
        <v>45</v>
      </c>
      <c r="O96">
        <v>730323</v>
      </c>
      <c r="U96">
        <f>Table1[[#This Row],[Interview_Date]]-Table1[[#This Row],[Application_Date]]</f>
        <v>4</v>
      </c>
      <c r="V96">
        <f>IF(OR(Table1[[#This Row],[Offer_Date]]="",Table1[[#This Row],[Interview_Date]]=""),"",Table1[[#This Row],[Offer_Date]]-Table1[[#This Row],[Interview_Date]])</f>
        <v>3</v>
      </c>
    </row>
    <row r="97" spans="1:22" x14ac:dyDescent="0.3">
      <c r="A97" t="s">
        <v>152</v>
      </c>
      <c r="B97" t="s">
        <v>65</v>
      </c>
      <c r="C97" t="s">
        <v>30</v>
      </c>
      <c r="D97" t="s">
        <v>18</v>
      </c>
      <c r="E97">
        <v>34</v>
      </c>
      <c r="F97" t="s">
        <v>31</v>
      </c>
      <c r="G97" t="s">
        <v>60</v>
      </c>
      <c r="H97" t="s">
        <v>21</v>
      </c>
      <c r="I97" s="1">
        <v>45028</v>
      </c>
      <c r="J97" s="1">
        <v>45037</v>
      </c>
      <c r="K97" s="1">
        <v>45041</v>
      </c>
      <c r="L97">
        <v>1</v>
      </c>
      <c r="M97">
        <v>4</v>
      </c>
      <c r="N97" t="s">
        <v>45</v>
      </c>
      <c r="O97">
        <v>927428</v>
      </c>
      <c r="U97">
        <f>Table1[[#This Row],[Interview_Date]]-Table1[[#This Row],[Application_Date]]</f>
        <v>9</v>
      </c>
      <c r="V97">
        <f>IF(OR(Table1[[#This Row],[Offer_Date]]="",Table1[[#This Row],[Interview_Date]]=""),"",Table1[[#This Row],[Offer_Date]]-Table1[[#This Row],[Interview_Date]])</f>
        <v>4</v>
      </c>
    </row>
    <row r="98" spans="1:22" x14ac:dyDescent="0.3">
      <c r="A98" t="s">
        <v>153</v>
      </c>
      <c r="B98" t="s">
        <v>47</v>
      </c>
      <c r="C98" t="s">
        <v>50</v>
      </c>
      <c r="D98" t="s">
        <v>18</v>
      </c>
      <c r="E98">
        <v>44</v>
      </c>
      <c r="F98" t="s">
        <v>19</v>
      </c>
      <c r="G98" t="s">
        <v>20</v>
      </c>
      <c r="H98" t="s">
        <v>54</v>
      </c>
      <c r="I98" s="1">
        <v>45375</v>
      </c>
      <c r="J98" s="1">
        <v>45379</v>
      </c>
      <c r="K98" s="1">
        <v>45385</v>
      </c>
      <c r="L98">
        <v>3</v>
      </c>
      <c r="M98">
        <v>10</v>
      </c>
      <c r="N98" t="s">
        <v>22</v>
      </c>
      <c r="O98">
        <v>893742</v>
      </c>
      <c r="U98">
        <f>Table1[[#This Row],[Interview_Date]]-Table1[[#This Row],[Application_Date]]</f>
        <v>4</v>
      </c>
      <c r="V98">
        <f>IF(OR(Table1[[#This Row],[Offer_Date]]="",Table1[[#This Row],[Interview_Date]]=""),"",Table1[[#This Row],[Offer_Date]]-Table1[[#This Row],[Interview_Date]])</f>
        <v>6</v>
      </c>
    </row>
    <row r="99" spans="1:22" x14ac:dyDescent="0.3">
      <c r="A99" t="s">
        <v>154</v>
      </c>
      <c r="B99" t="s">
        <v>16</v>
      </c>
      <c r="C99" t="s">
        <v>30</v>
      </c>
      <c r="D99" t="s">
        <v>18</v>
      </c>
      <c r="E99">
        <v>40</v>
      </c>
      <c r="F99" t="s">
        <v>74</v>
      </c>
      <c r="G99" t="s">
        <v>35</v>
      </c>
      <c r="H99" t="s">
        <v>51</v>
      </c>
      <c r="I99" s="1">
        <v>44874</v>
      </c>
      <c r="J99" s="1">
        <v>44881</v>
      </c>
      <c r="K99" s="1">
        <v>44888</v>
      </c>
      <c r="L99">
        <v>4</v>
      </c>
      <c r="M99">
        <v>6</v>
      </c>
      <c r="N99" t="s">
        <v>28</v>
      </c>
      <c r="O99">
        <v>678154</v>
      </c>
      <c r="U99">
        <f>Table1[[#This Row],[Interview_Date]]-Table1[[#This Row],[Application_Date]]</f>
        <v>7</v>
      </c>
      <c r="V99">
        <f>IF(OR(Table1[[#This Row],[Offer_Date]]="",Table1[[#This Row],[Interview_Date]]=""),"",Table1[[#This Row],[Offer_Date]]-Table1[[#This Row],[Interview_Date]])</f>
        <v>7</v>
      </c>
    </row>
    <row r="100" spans="1:22" x14ac:dyDescent="0.3">
      <c r="A100" t="s">
        <v>155</v>
      </c>
      <c r="B100" t="s">
        <v>63</v>
      </c>
      <c r="C100" t="s">
        <v>59</v>
      </c>
      <c r="D100" t="s">
        <v>18</v>
      </c>
      <c r="E100">
        <v>22</v>
      </c>
      <c r="F100" t="s">
        <v>39</v>
      </c>
      <c r="G100" t="s">
        <v>20</v>
      </c>
      <c r="H100" t="s">
        <v>21</v>
      </c>
      <c r="I100" s="1">
        <v>44394</v>
      </c>
      <c r="J100" s="1">
        <v>44405</v>
      </c>
      <c r="L100">
        <v>2</v>
      </c>
      <c r="M100">
        <v>3</v>
      </c>
      <c r="N100" t="s">
        <v>28</v>
      </c>
      <c r="O100">
        <v>645471</v>
      </c>
      <c r="U100">
        <f>Table1[[#This Row],[Interview_Date]]-Table1[[#This Row],[Application_Date]]</f>
        <v>11</v>
      </c>
      <c r="V100" t="str">
        <f>IF(OR(Table1[[#This Row],[Offer_Date]]="",Table1[[#This Row],[Interview_Date]]=""),"",Table1[[#This Row],[Offer_Date]]-Table1[[#This Row],[Interview_Date]])</f>
        <v/>
      </c>
    </row>
    <row r="101" spans="1:22" x14ac:dyDescent="0.3">
      <c r="A101" t="s">
        <v>156</v>
      </c>
      <c r="B101" t="s">
        <v>33</v>
      </c>
      <c r="C101" t="s">
        <v>53</v>
      </c>
      <c r="D101" t="s">
        <v>26</v>
      </c>
      <c r="E101">
        <v>28</v>
      </c>
      <c r="F101" t="s">
        <v>39</v>
      </c>
      <c r="G101" t="s">
        <v>60</v>
      </c>
      <c r="H101" t="s">
        <v>54</v>
      </c>
      <c r="I101" s="1">
        <v>45332</v>
      </c>
      <c r="J101" s="1">
        <v>45343</v>
      </c>
      <c r="K101" s="1">
        <v>45349</v>
      </c>
      <c r="L101">
        <v>4</v>
      </c>
      <c r="M101">
        <v>7</v>
      </c>
      <c r="N101" t="s">
        <v>45</v>
      </c>
      <c r="O101">
        <v>594874</v>
      </c>
      <c r="U101">
        <f>Table1[[#This Row],[Interview_Date]]-Table1[[#This Row],[Application_Date]]</f>
        <v>11</v>
      </c>
      <c r="V101">
        <f>IF(OR(Table1[[#This Row],[Offer_Date]]="",Table1[[#This Row],[Interview_Date]]=""),"",Table1[[#This Row],[Offer_Date]]-Table1[[#This Row],[Interview_Date]])</f>
        <v>6</v>
      </c>
    </row>
    <row r="102" spans="1:22" x14ac:dyDescent="0.3">
      <c r="A102" t="s">
        <v>157</v>
      </c>
      <c r="B102" t="s">
        <v>33</v>
      </c>
      <c r="C102" t="s">
        <v>66</v>
      </c>
      <c r="D102" t="s">
        <v>26</v>
      </c>
      <c r="E102">
        <v>32</v>
      </c>
      <c r="F102" t="s">
        <v>19</v>
      </c>
      <c r="G102" t="s">
        <v>35</v>
      </c>
      <c r="H102" t="s">
        <v>36</v>
      </c>
      <c r="I102" s="1">
        <v>44665</v>
      </c>
      <c r="J102" s="1">
        <v>44677</v>
      </c>
      <c r="L102">
        <v>5</v>
      </c>
      <c r="M102">
        <v>5</v>
      </c>
      <c r="N102" t="s">
        <v>28</v>
      </c>
      <c r="O102">
        <v>669992</v>
      </c>
      <c r="U102">
        <f>Table1[[#This Row],[Interview_Date]]-Table1[[#This Row],[Application_Date]]</f>
        <v>12</v>
      </c>
      <c r="V102" t="str">
        <f>IF(OR(Table1[[#This Row],[Offer_Date]]="",Table1[[#This Row],[Interview_Date]]=""),"",Table1[[#This Row],[Offer_Date]]-Table1[[#This Row],[Interview_Date]])</f>
        <v/>
      </c>
    </row>
    <row r="103" spans="1:22" x14ac:dyDescent="0.3">
      <c r="A103" t="s">
        <v>158</v>
      </c>
      <c r="B103" t="s">
        <v>65</v>
      </c>
      <c r="C103" t="s">
        <v>69</v>
      </c>
      <c r="D103" t="s">
        <v>18</v>
      </c>
      <c r="E103">
        <v>36</v>
      </c>
      <c r="F103" t="s">
        <v>31</v>
      </c>
      <c r="G103" t="s">
        <v>35</v>
      </c>
      <c r="H103" t="s">
        <v>21</v>
      </c>
      <c r="I103" s="1">
        <v>44238</v>
      </c>
      <c r="J103" s="1">
        <v>44249</v>
      </c>
      <c r="K103" s="1">
        <v>44253</v>
      </c>
      <c r="L103">
        <v>3</v>
      </c>
      <c r="M103">
        <v>2</v>
      </c>
      <c r="N103" t="s">
        <v>45</v>
      </c>
      <c r="O103">
        <v>732203</v>
      </c>
      <c r="U103">
        <f>Table1[[#This Row],[Interview_Date]]-Table1[[#This Row],[Application_Date]]</f>
        <v>11</v>
      </c>
      <c r="V103">
        <f>IF(OR(Table1[[#This Row],[Offer_Date]]="",Table1[[#This Row],[Interview_Date]]=""),"",Table1[[#This Row],[Offer_Date]]-Table1[[#This Row],[Interview_Date]])</f>
        <v>4</v>
      </c>
    </row>
    <row r="104" spans="1:22" x14ac:dyDescent="0.3">
      <c r="A104" t="s">
        <v>159</v>
      </c>
      <c r="B104" t="s">
        <v>72</v>
      </c>
      <c r="C104" t="s">
        <v>69</v>
      </c>
      <c r="D104" t="s">
        <v>26</v>
      </c>
      <c r="E104">
        <v>30</v>
      </c>
      <c r="F104" t="s">
        <v>74</v>
      </c>
      <c r="G104" t="s">
        <v>27</v>
      </c>
      <c r="H104" t="s">
        <v>21</v>
      </c>
      <c r="I104" s="1">
        <v>44406</v>
      </c>
      <c r="J104" s="1">
        <v>44419</v>
      </c>
      <c r="L104">
        <v>2</v>
      </c>
      <c r="M104">
        <v>2</v>
      </c>
      <c r="N104" t="s">
        <v>28</v>
      </c>
      <c r="O104">
        <v>605143</v>
      </c>
      <c r="U104">
        <f>Table1[[#This Row],[Interview_Date]]-Table1[[#This Row],[Application_Date]]</f>
        <v>13</v>
      </c>
      <c r="V104" t="str">
        <f>IF(OR(Table1[[#This Row],[Offer_Date]]="",Table1[[#This Row],[Interview_Date]]=""),"",Table1[[#This Row],[Offer_Date]]-Table1[[#This Row],[Interview_Date]])</f>
        <v/>
      </c>
    </row>
    <row r="105" spans="1:22" x14ac:dyDescent="0.3">
      <c r="A105" t="s">
        <v>160</v>
      </c>
      <c r="B105" t="s">
        <v>72</v>
      </c>
      <c r="C105" t="s">
        <v>25</v>
      </c>
      <c r="D105" t="s">
        <v>26</v>
      </c>
      <c r="E105">
        <v>37</v>
      </c>
      <c r="F105" t="s">
        <v>34</v>
      </c>
      <c r="G105" t="s">
        <v>27</v>
      </c>
      <c r="H105" t="s">
        <v>54</v>
      </c>
      <c r="I105" s="1">
        <v>45036</v>
      </c>
      <c r="J105" s="1">
        <v>45044</v>
      </c>
      <c r="K105" s="1">
        <v>45051</v>
      </c>
      <c r="L105">
        <v>2</v>
      </c>
      <c r="M105">
        <v>10</v>
      </c>
      <c r="N105" t="s">
        <v>28</v>
      </c>
      <c r="O105">
        <v>614391</v>
      </c>
      <c r="U105">
        <f>Table1[[#This Row],[Interview_Date]]-Table1[[#This Row],[Application_Date]]</f>
        <v>8</v>
      </c>
      <c r="V105">
        <f>IF(OR(Table1[[#This Row],[Offer_Date]]="",Table1[[#This Row],[Interview_Date]]=""),"",Table1[[#This Row],[Offer_Date]]-Table1[[#This Row],[Interview_Date]])</f>
        <v>7</v>
      </c>
    </row>
    <row r="106" spans="1:22" x14ac:dyDescent="0.3">
      <c r="A106" t="s">
        <v>161</v>
      </c>
      <c r="B106" t="s">
        <v>47</v>
      </c>
      <c r="C106" t="s">
        <v>69</v>
      </c>
      <c r="D106" t="s">
        <v>18</v>
      </c>
      <c r="E106">
        <v>43</v>
      </c>
      <c r="F106" t="s">
        <v>39</v>
      </c>
      <c r="G106" t="s">
        <v>35</v>
      </c>
      <c r="H106" t="s">
        <v>54</v>
      </c>
      <c r="I106" s="1">
        <v>44282</v>
      </c>
      <c r="J106" s="1">
        <v>44293</v>
      </c>
      <c r="K106" s="1">
        <v>44295</v>
      </c>
      <c r="L106">
        <v>1</v>
      </c>
      <c r="M106">
        <v>2</v>
      </c>
      <c r="N106" t="s">
        <v>48</v>
      </c>
      <c r="O106">
        <v>387359</v>
      </c>
      <c r="U106">
        <f>Table1[[#This Row],[Interview_Date]]-Table1[[#This Row],[Application_Date]]</f>
        <v>11</v>
      </c>
      <c r="V106">
        <f>IF(OR(Table1[[#This Row],[Offer_Date]]="",Table1[[#This Row],[Interview_Date]]=""),"",Table1[[#This Row],[Offer_Date]]-Table1[[#This Row],[Interview_Date]])</f>
        <v>2</v>
      </c>
    </row>
    <row r="107" spans="1:22" x14ac:dyDescent="0.3">
      <c r="A107" t="s">
        <v>162</v>
      </c>
      <c r="B107" t="s">
        <v>47</v>
      </c>
      <c r="C107" t="s">
        <v>17</v>
      </c>
      <c r="D107" t="s">
        <v>18</v>
      </c>
      <c r="E107">
        <v>36</v>
      </c>
      <c r="F107" t="s">
        <v>34</v>
      </c>
      <c r="G107" t="s">
        <v>44</v>
      </c>
      <c r="H107" t="s">
        <v>21</v>
      </c>
      <c r="I107" s="1">
        <v>45012</v>
      </c>
      <c r="J107" s="1">
        <v>45022</v>
      </c>
      <c r="K107" s="1">
        <v>45029</v>
      </c>
      <c r="L107">
        <v>1</v>
      </c>
      <c r="M107">
        <v>6</v>
      </c>
      <c r="N107" t="s">
        <v>22</v>
      </c>
      <c r="O107">
        <v>910433</v>
      </c>
      <c r="U107">
        <f>Table1[[#This Row],[Interview_Date]]-Table1[[#This Row],[Application_Date]]</f>
        <v>10</v>
      </c>
      <c r="V107">
        <f>IF(OR(Table1[[#This Row],[Offer_Date]]="",Table1[[#This Row],[Interview_Date]]=""),"",Table1[[#This Row],[Offer_Date]]-Table1[[#This Row],[Interview_Date]])</f>
        <v>7</v>
      </c>
    </row>
    <row r="108" spans="1:22" x14ac:dyDescent="0.3">
      <c r="A108" t="s">
        <v>163</v>
      </c>
      <c r="B108" t="s">
        <v>24</v>
      </c>
      <c r="C108" t="s">
        <v>69</v>
      </c>
      <c r="D108" t="s">
        <v>26</v>
      </c>
      <c r="E108">
        <v>25</v>
      </c>
      <c r="F108" t="s">
        <v>39</v>
      </c>
      <c r="G108" t="s">
        <v>20</v>
      </c>
      <c r="H108" t="s">
        <v>36</v>
      </c>
      <c r="I108" s="1">
        <v>45396</v>
      </c>
      <c r="J108" s="1">
        <v>45405</v>
      </c>
      <c r="L108">
        <v>2</v>
      </c>
      <c r="M108">
        <v>9</v>
      </c>
      <c r="N108" t="s">
        <v>22</v>
      </c>
      <c r="O108">
        <v>1176597</v>
      </c>
      <c r="U108">
        <f>Table1[[#This Row],[Interview_Date]]-Table1[[#This Row],[Application_Date]]</f>
        <v>9</v>
      </c>
      <c r="V108" t="str">
        <f>IF(OR(Table1[[#This Row],[Offer_Date]]="",Table1[[#This Row],[Interview_Date]]=""),"",Table1[[#This Row],[Offer_Date]]-Table1[[#This Row],[Interview_Date]])</f>
        <v/>
      </c>
    </row>
    <row r="109" spans="1:22" x14ac:dyDescent="0.3">
      <c r="A109" t="s">
        <v>164</v>
      </c>
      <c r="B109" t="s">
        <v>63</v>
      </c>
      <c r="C109" t="s">
        <v>43</v>
      </c>
      <c r="D109" t="s">
        <v>18</v>
      </c>
      <c r="E109">
        <v>35</v>
      </c>
      <c r="F109" t="s">
        <v>74</v>
      </c>
      <c r="G109" t="s">
        <v>20</v>
      </c>
      <c r="H109" t="s">
        <v>40</v>
      </c>
      <c r="I109" s="1">
        <v>44479</v>
      </c>
      <c r="J109" s="1">
        <v>44484</v>
      </c>
      <c r="L109">
        <v>4</v>
      </c>
      <c r="M109">
        <v>9</v>
      </c>
      <c r="N109" t="s">
        <v>45</v>
      </c>
      <c r="O109">
        <v>581491</v>
      </c>
      <c r="U109">
        <f>Table1[[#This Row],[Interview_Date]]-Table1[[#This Row],[Application_Date]]</f>
        <v>5</v>
      </c>
      <c r="V109" t="str">
        <f>IF(OR(Table1[[#This Row],[Offer_Date]]="",Table1[[#This Row],[Interview_Date]]=""),"",Table1[[#This Row],[Offer_Date]]-Table1[[#This Row],[Interview_Date]])</f>
        <v/>
      </c>
    </row>
    <row r="110" spans="1:22" x14ac:dyDescent="0.3">
      <c r="A110" t="s">
        <v>165</v>
      </c>
      <c r="B110" t="s">
        <v>58</v>
      </c>
      <c r="C110" t="s">
        <v>94</v>
      </c>
      <c r="D110" t="s">
        <v>26</v>
      </c>
      <c r="E110">
        <v>27</v>
      </c>
      <c r="F110" t="s">
        <v>74</v>
      </c>
      <c r="G110" t="s">
        <v>44</v>
      </c>
      <c r="H110" t="s">
        <v>54</v>
      </c>
      <c r="I110" s="1">
        <v>44420</v>
      </c>
      <c r="J110" s="1">
        <v>44427</v>
      </c>
      <c r="K110" s="1">
        <v>44429</v>
      </c>
      <c r="L110">
        <v>5</v>
      </c>
      <c r="M110">
        <v>7</v>
      </c>
      <c r="N110" t="s">
        <v>22</v>
      </c>
      <c r="O110">
        <v>690993</v>
      </c>
      <c r="U110">
        <f>Table1[[#This Row],[Interview_Date]]-Table1[[#This Row],[Application_Date]]</f>
        <v>7</v>
      </c>
      <c r="V110">
        <f>IF(OR(Table1[[#This Row],[Offer_Date]]="",Table1[[#This Row],[Interview_Date]]=""),"",Table1[[#This Row],[Offer_Date]]-Table1[[#This Row],[Interview_Date]])</f>
        <v>2</v>
      </c>
    </row>
    <row r="111" spans="1:22" x14ac:dyDescent="0.3">
      <c r="A111" t="s">
        <v>166</v>
      </c>
      <c r="B111" t="s">
        <v>33</v>
      </c>
      <c r="C111" t="s">
        <v>66</v>
      </c>
      <c r="D111" t="s">
        <v>26</v>
      </c>
      <c r="E111">
        <v>22</v>
      </c>
      <c r="F111" t="s">
        <v>34</v>
      </c>
      <c r="G111" t="s">
        <v>27</v>
      </c>
      <c r="H111" t="s">
        <v>54</v>
      </c>
      <c r="I111" s="1">
        <v>45109</v>
      </c>
      <c r="J111" s="1">
        <v>45119</v>
      </c>
      <c r="K111" s="1">
        <v>45123</v>
      </c>
      <c r="L111">
        <v>2</v>
      </c>
      <c r="M111">
        <v>8</v>
      </c>
      <c r="N111" t="s">
        <v>28</v>
      </c>
      <c r="O111">
        <v>508337</v>
      </c>
      <c r="U111">
        <f>Table1[[#This Row],[Interview_Date]]-Table1[[#This Row],[Application_Date]]</f>
        <v>10</v>
      </c>
      <c r="V111">
        <f>IF(OR(Table1[[#This Row],[Offer_Date]]="",Table1[[#This Row],[Interview_Date]]=""),"",Table1[[#This Row],[Offer_Date]]-Table1[[#This Row],[Interview_Date]])</f>
        <v>4</v>
      </c>
    </row>
    <row r="112" spans="1:22" x14ac:dyDescent="0.3">
      <c r="A112" t="s">
        <v>167</v>
      </c>
      <c r="B112" t="s">
        <v>63</v>
      </c>
      <c r="C112" t="s">
        <v>53</v>
      </c>
      <c r="D112" t="s">
        <v>26</v>
      </c>
      <c r="E112">
        <v>32</v>
      </c>
      <c r="F112" t="s">
        <v>31</v>
      </c>
      <c r="G112" t="s">
        <v>44</v>
      </c>
      <c r="H112" t="s">
        <v>54</v>
      </c>
      <c r="I112" s="1">
        <v>44686</v>
      </c>
      <c r="J112" s="1">
        <v>44697</v>
      </c>
      <c r="L112">
        <v>2</v>
      </c>
      <c r="M112">
        <v>10</v>
      </c>
      <c r="N112" t="s">
        <v>45</v>
      </c>
      <c r="O112">
        <v>460055</v>
      </c>
      <c r="U112">
        <f>Table1[[#This Row],[Interview_Date]]-Table1[[#This Row],[Application_Date]]</f>
        <v>11</v>
      </c>
      <c r="V112" t="str">
        <f>IF(OR(Table1[[#This Row],[Offer_Date]]="",Table1[[#This Row],[Interview_Date]]=""),"",Table1[[#This Row],[Offer_Date]]-Table1[[#This Row],[Interview_Date]])</f>
        <v/>
      </c>
    </row>
    <row r="113" spans="1:22" x14ac:dyDescent="0.3">
      <c r="A113" t="s">
        <v>168</v>
      </c>
      <c r="B113" t="s">
        <v>33</v>
      </c>
      <c r="C113" t="s">
        <v>53</v>
      </c>
      <c r="D113" t="s">
        <v>18</v>
      </c>
      <c r="E113">
        <v>23</v>
      </c>
      <c r="F113" t="s">
        <v>19</v>
      </c>
      <c r="G113" t="s">
        <v>35</v>
      </c>
      <c r="H113" t="s">
        <v>40</v>
      </c>
      <c r="I113" s="1">
        <v>45073</v>
      </c>
      <c r="J113" s="1">
        <v>45077</v>
      </c>
      <c r="L113">
        <v>4</v>
      </c>
      <c r="M113">
        <v>7</v>
      </c>
      <c r="N113" t="s">
        <v>22</v>
      </c>
      <c r="O113">
        <v>860981</v>
      </c>
      <c r="U113">
        <f>Table1[[#This Row],[Interview_Date]]-Table1[[#This Row],[Application_Date]]</f>
        <v>4</v>
      </c>
      <c r="V113" t="str">
        <f>IF(OR(Table1[[#This Row],[Offer_Date]]="",Table1[[#This Row],[Interview_Date]]=""),"",Table1[[#This Row],[Offer_Date]]-Table1[[#This Row],[Interview_Date]])</f>
        <v/>
      </c>
    </row>
    <row r="114" spans="1:22" x14ac:dyDescent="0.3">
      <c r="A114" t="s">
        <v>169</v>
      </c>
      <c r="B114" t="s">
        <v>72</v>
      </c>
      <c r="C114" t="s">
        <v>17</v>
      </c>
      <c r="D114" t="s">
        <v>26</v>
      </c>
      <c r="E114">
        <v>38</v>
      </c>
      <c r="F114" t="s">
        <v>39</v>
      </c>
      <c r="G114" t="s">
        <v>27</v>
      </c>
      <c r="H114" t="s">
        <v>54</v>
      </c>
      <c r="I114" s="1">
        <v>44383</v>
      </c>
      <c r="J114" s="1">
        <v>44390</v>
      </c>
      <c r="K114" s="1">
        <v>44395</v>
      </c>
      <c r="L114">
        <v>2</v>
      </c>
      <c r="M114">
        <v>6</v>
      </c>
      <c r="N114" t="s">
        <v>45</v>
      </c>
      <c r="O114">
        <v>892611</v>
      </c>
      <c r="U114">
        <f>Table1[[#This Row],[Interview_Date]]-Table1[[#This Row],[Application_Date]]</f>
        <v>7</v>
      </c>
      <c r="V114">
        <f>IF(OR(Table1[[#This Row],[Offer_Date]]="",Table1[[#This Row],[Interview_Date]]=""),"",Table1[[#This Row],[Offer_Date]]-Table1[[#This Row],[Interview_Date]])</f>
        <v>5</v>
      </c>
    </row>
    <row r="115" spans="1:22" x14ac:dyDescent="0.3">
      <c r="A115" t="s">
        <v>170</v>
      </c>
      <c r="B115" t="s">
        <v>58</v>
      </c>
      <c r="C115" t="s">
        <v>30</v>
      </c>
      <c r="D115" t="s">
        <v>26</v>
      </c>
      <c r="E115">
        <v>44</v>
      </c>
      <c r="F115" t="s">
        <v>31</v>
      </c>
      <c r="G115" t="s">
        <v>44</v>
      </c>
      <c r="H115" t="s">
        <v>40</v>
      </c>
      <c r="I115" s="1">
        <v>44457</v>
      </c>
      <c r="J115" s="1">
        <v>44468</v>
      </c>
      <c r="L115">
        <v>5</v>
      </c>
      <c r="M115">
        <v>7</v>
      </c>
      <c r="N115" t="s">
        <v>45</v>
      </c>
      <c r="O115">
        <v>337685</v>
      </c>
      <c r="U115">
        <f>Table1[[#This Row],[Interview_Date]]-Table1[[#This Row],[Application_Date]]</f>
        <v>11</v>
      </c>
      <c r="V115" t="str">
        <f>IF(OR(Table1[[#This Row],[Offer_Date]]="",Table1[[#This Row],[Interview_Date]]=""),"",Table1[[#This Row],[Offer_Date]]-Table1[[#This Row],[Interview_Date]])</f>
        <v/>
      </c>
    </row>
    <row r="116" spans="1:22" x14ac:dyDescent="0.3">
      <c r="A116" t="s">
        <v>171</v>
      </c>
      <c r="B116" t="s">
        <v>38</v>
      </c>
      <c r="C116" t="s">
        <v>30</v>
      </c>
      <c r="D116" t="s">
        <v>18</v>
      </c>
      <c r="E116">
        <v>32</v>
      </c>
      <c r="F116" t="s">
        <v>19</v>
      </c>
      <c r="G116" t="s">
        <v>27</v>
      </c>
      <c r="H116" t="s">
        <v>40</v>
      </c>
      <c r="I116" s="1">
        <v>45092</v>
      </c>
      <c r="J116" s="1">
        <v>45106</v>
      </c>
      <c r="L116">
        <v>3</v>
      </c>
      <c r="M116">
        <v>10</v>
      </c>
      <c r="N116" t="s">
        <v>48</v>
      </c>
      <c r="O116">
        <v>1100468</v>
      </c>
      <c r="U116">
        <f>Table1[[#This Row],[Interview_Date]]-Table1[[#This Row],[Application_Date]]</f>
        <v>14</v>
      </c>
      <c r="V116" t="str">
        <f>IF(OR(Table1[[#This Row],[Offer_Date]]="",Table1[[#This Row],[Interview_Date]]=""),"",Table1[[#This Row],[Offer_Date]]-Table1[[#This Row],[Interview_Date]])</f>
        <v/>
      </c>
    </row>
    <row r="117" spans="1:22" x14ac:dyDescent="0.3">
      <c r="A117" t="s">
        <v>172</v>
      </c>
      <c r="B117" t="s">
        <v>38</v>
      </c>
      <c r="C117" t="s">
        <v>69</v>
      </c>
      <c r="D117" t="s">
        <v>26</v>
      </c>
      <c r="E117">
        <v>44</v>
      </c>
      <c r="F117" t="s">
        <v>34</v>
      </c>
      <c r="G117" t="s">
        <v>20</v>
      </c>
      <c r="H117" t="s">
        <v>36</v>
      </c>
      <c r="I117" s="1">
        <v>45279</v>
      </c>
      <c r="J117" s="1">
        <v>45293</v>
      </c>
      <c r="K117" s="1">
        <v>45299</v>
      </c>
      <c r="L117">
        <v>5</v>
      </c>
      <c r="M117">
        <v>8</v>
      </c>
      <c r="N117" t="s">
        <v>48</v>
      </c>
      <c r="O117">
        <v>1064159</v>
      </c>
      <c r="U117">
        <f>Table1[[#This Row],[Interview_Date]]-Table1[[#This Row],[Application_Date]]</f>
        <v>14</v>
      </c>
      <c r="V117">
        <f>IF(OR(Table1[[#This Row],[Offer_Date]]="",Table1[[#This Row],[Interview_Date]]=""),"",Table1[[#This Row],[Offer_Date]]-Table1[[#This Row],[Interview_Date]])</f>
        <v>6</v>
      </c>
    </row>
    <row r="118" spans="1:22" x14ac:dyDescent="0.3">
      <c r="A118" t="s">
        <v>173</v>
      </c>
      <c r="B118" t="s">
        <v>63</v>
      </c>
      <c r="C118" t="s">
        <v>59</v>
      </c>
      <c r="D118" t="s">
        <v>18</v>
      </c>
      <c r="E118">
        <v>32</v>
      </c>
      <c r="F118" t="s">
        <v>56</v>
      </c>
      <c r="G118" t="s">
        <v>20</v>
      </c>
      <c r="H118" t="s">
        <v>51</v>
      </c>
      <c r="I118" s="1">
        <v>44533</v>
      </c>
      <c r="J118" s="1">
        <v>44546</v>
      </c>
      <c r="L118">
        <v>2</v>
      </c>
      <c r="M118">
        <v>5</v>
      </c>
      <c r="N118" t="s">
        <v>22</v>
      </c>
      <c r="O118">
        <v>701907</v>
      </c>
      <c r="U118">
        <f>Table1[[#This Row],[Interview_Date]]-Table1[[#This Row],[Application_Date]]</f>
        <v>13</v>
      </c>
      <c r="V118" t="str">
        <f>IF(OR(Table1[[#This Row],[Offer_Date]]="",Table1[[#This Row],[Interview_Date]]=""),"",Table1[[#This Row],[Offer_Date]]-Table1[[#This Row],[Interview_Date]])</f>
        <v/>
      </c>
    </row>
    <row r="119" spans="1:22" x14ac:dyDescent="0.3">
      <c r="A119" t="s">
        <v>174</v>
      </c>
      <c r="B119" t="s">
        <v>24</v>
      </c>
      <c r="C119" t="s">
        <v>25</v>
      </c>
      <c r="D119" t="s">
        <v>18</v>
      </c>
      <c r="E119">
        <v>38</v>
      </c>
      <c r="F119" t="s">
        <v>39</v>
      </c>
      <c r="G119" t="s">
        <v>60</v>
      </c>
      <c r="H119" t="s">
        <v>21</v>
      </c>
      <c r="I119" s="1">
        <v>44211</v>
      </c>
      <c r="J119" s="1">
        <v>44224</v>
      </c>
      <c r="K119" s="1">
        <v>44230</v>
      </c>
      <c r="L119">
        <v>2</v>
      </c>
      <c r="M119">
        <v>10</v>
      </c>
      <c r="N119" t="s">
        <v>48</v>
      </c>
      <c r="O119">
        <v>614528</v>
      </c>
      <c r="U119">
        <f>Table1[[#This Row],[Interview_Date]]-Table1[[#This Row],[Application_Date]]</f>
        <v>13</v>
      </c>
      <c r="V119">
        <f>IF(OR(Table1[[#This Row],[Offer_Date]]="",Table1[[#This Row],[Interview_Date]]=""),"",Table1[[#This Row],[Offer_Date]]-Table1[[#This Row],[Interview_Date]])</f>
        <v>6</v>
      </c>
    </row>
    <row r="120" spans="1:22" x14ac:dyDescent="0.3">
      <c r="A120" t="s">
        <v>175</v>
      </c>
      <c r="B120" t="s">
        <v>38</v>
      </c>
      <c r="C120" t="s">
        <v>50</v>
      </c>
      <c r="D120" t="s">
        <v>26</v>
      </c>
      <c r="E120">
        <v>27</v>
      </c>
      <c r="F120" t="s">
        <v>56</v>
      </c>
      <c r="G120" t="s">
        <v>27</v>
      </c>
      <c r="H120" t="s">
        <v>51</v>
      </c>
      <c r="I120" s="1">
        <v>45124</v>
      </c>
      <c r="J120" s="1">
        <v>45138</v>
      </c>
      <c r="K120" s="1">
        <v>45141</v>
      </c>
      <c r="L120">
        <v>5</v>
      </c>
      <c r="M120">
        <v>3</v>
      </c>
      <c r="N120" t="s">
        <v>22</v>
      </c>
      <c r="O120">
        <v>472754</v>
      </c>
      <c r="U120">
        <f>Table1[[#This Row],[Interview_Date]]-Table1[[#This Row],[Application_Date]]</f>
        <v>14</v>
      </c>
      <c r="V120">
        <f>IF(OR(Table1[[#This Row],[Offer_Date]]="",Table1[[#This Row],[Interview_Date]]=""),"",Table1[[#This Row],[Offer_Date]]-Table1[[#This Row],[Interview_Date]])</f>
        <v>3</v>
      </c>
    </row>
    <row r="121" spans="1:22" x14ac:dyDescent="0.3">
      <c r="A121" t="s">
        <v>176</v>
      </c>
      <c r="B121" t="s">
        <v>24</v>
      </c>
      <c r="C121" t="s">
        <v>59</v>
      </c>
      <c r="D121" t="s">
        <v>18</v>
      </c>
      <c r="E121">
        <v>38</v>
      </c>
      <c r="F121" t="s">
        <v>31</v>
      </c>
      <c r="G121" t="s">
        <v>60</v>
      </c>
      <c r="H121" t="s">
        <v>54</v>
      </c>
      <c r="I121" s="1">
        <v>45008</v>
      </c>
      <c r="J121" s="1">
        <v>45021</v>
      </c>
      <c r="L121">
        <v>5</v>
      </c>
      <c r="M121">
        <v>9</v>
      </c>
      <c r="N121" t="s">
        <v>48</v>
      </c>
      <c r="O121">
        <v>796746</v>
      </c>
      <c r="U121">
        <f>Table1[[#This Row],[Interview_Date]]-Table1[[#This Row],[Application_Date]]</f>
        <v>13</v>
      </c>
      <c r="V121" t="str">
        <f>IF(OR(Table1[[#This Row],[Offer_Date]]="",Table1[[#This Row],[Interview_Date]]=""),"",Table1[[#This Row],[Offer_Date]]-Table1[[#This Row],[Interview_Date]])</f>
        <v/>
      </c>
    </row>
    <row r="122" spans="1:22" x14ac:dyDescent="0.3">
      <c r="A122" t="s">
        <v>177</v>
      </c>
      <c r="B122" t="s">
        <v>38</v>
      </c>
      <c r="C122" t="s">
        <v>43</v>
      </c>
      <c r="D122" t="s">
        <v>26</v>
      </c>
      <c r="E122">
        <v>35</v>
      </c>
      <c r="F122" t="s">
        <v>56</v>
      </c>
      <c r="G122" t="s">
        <v>60</v>
      </c>
      <c r="H122" t="s">
        <v>40</v>
      </c>
      <c r="I122" s="1">
        <v>44544</v>
      </c>
      <c r="J122" s="1">
        <v>44552</v>
      </c>
      <c r="L122">
        <v>1</v>
      </c>
      <c r="M122">
        <v>3</v>
      </c>
      <c r="N122" t="s">
        <v>28</v>
      </c>
      <c r="O122">
        <v>503130</v>
      </c>
      <c r="U122">
        <f>Table1[[#This Row],[Interview_Date]]-Table1[[#This Row],[Application_Date]]</f>
        <v>8</v>
      </c>
      <c r="V122" t="str">
        <f>IF(OR(Table1[[#This Row],[Offer_Date]]="",Table1[[#This Row],[Interview_Date]]=""),"",Table1[[#This Row],[Offer_Date]]-Table1[[#This Row],[Interview_Date]])</f>
        <v/>
      </c>
    </row>
    <row r="123" spans="1:22" x14ac:dyDescent="0.3">
      <c r="A123" t="s">
        <v>178</v>
      </c>
      <c r="B123" t="s">
        <v>42</v>
      </c>
      <c r="C123" t="s">
        <v>17</v>
      </c>
      <c r="D123" t="s">
        <v>18</v>
      </c>
      <c r="E123">
        <v>39</v>
      </c>
      <c r="F123" t="s">
        <v>39</v>
      </c>
      <c r="G123" t="s">
        <v>60</v>
      </c>
      <c r="H123" t="s">
        <v>51</v>
      </c>
      <c r="I123" s="1">
        <v>44871</v>
      </c>
      <c r="J123" s="1">
        <v>44877</v>
      </c>
      <c r="K123" s="1">
        <v>44884</v>
      </c>
      <c r="L123">
        <v>3</v>
      </c>
      <c r="M123">
        <v>8</v>
      </c>
      <c r="N123" t="s">
        <v>22</v>
      </c>
      <c r="O123">
        <v>579808</v>
      </c>
      <c r="U123">
        <f>Table1[[#This Row],[Interview_Date]]-Table1[[#This Row],[Application_Date]]</f>
        <v>6</v>
      </c>
      <c r="V123">
        <f>IF(OR(Table1[[#This Row],[Offer_Date]]="",Table1[[#This Row],[Interview_Date]]=""),"",Table1[[#This Row],[Offer_Date]]-Table1[[#This Row],[Interview_Date]])</f>
        <v>7</v>
      </c>
    </row>
    <row r="124" spans="1:22" x14ac:dyDescent="0.3">
      <c r="A124" t="s">
        <v>179</v>
      </c>
      <c r="B124" t="s">
        <v>42</v>
      </c>
      <c r="C124" t="s">
        <v>50</v>
      </c>
      <c r="D124" t="s">
        <v>18</v>
      </c>
      <c r="E124">
        <v>44</v>
      </c>
      <c r="F124" t="s">
        <v>19</v>
      </c>
      <c r="G124" t="s">
        <v>20</v>
      </c>
      <c r="H124" t="s">
        <v>21</v>
      </c>
      <c r="I124" s="1">
        <v>44762</v>
      </c>
      <c r="J124" s="1">
        <v>44771</v>
      </c>
      <c r="K124" s="1">
        <v>44776</v>
      </c>
      <c r="L124">
        <v>3</v>
      </c>
      <c r="M124">
        <v>4</v>
      </c>
      <c r="N124" t="s">
        <v>28</v>
      </c>
      <c r="O124">
        <v>961092</v>
      </c>
      <c r="U124">
        <f>Table1[[#This Row],[Interview_Date]]-Table1[[#This Row],[Application_Date]]</f>
        <v>9</v>
      </c>
      <c r="V124">
        <f>IF(OR(Table1[[#This Row],[Offer_Date]]="",Table1[[#This Row],[Interview_Date]]=""),"",Table1[[#This Row],[Offer_Date]]-Table1[[#This Row],[Interview_Date]])</f>
        <v>5</v>
      </c>
    </row>
    <row r="125" spans="1:22" x14ac:dyDescent="0.3">
      <c r="A125" t="s">
        <v>180</v>
      </c>
      <c r="B125" t="s">
        <v>42</v>
      </c>
      <c r="C125" t="s">
        <v>66</v>
      </c>
      <c r="D125" t="s">
        <v>18</v>
      </c>
      <c r="E125">
        <v>32</v>
      </c>
      <c r="F125" t="s">
        <v>39</v>
      </c>
      <c r="G125" t="s">
        <v>60</v>
      </c>
      <c r="H125" t="s">
        <v>54</v>
      </c>
      <c r="I125" s="1">
        <v>44337</v>
      </c>
      <c r="J125" s="1">
        <v>44348</v>
      </c>
      <c r="K125" s="1">
        <v>44353</v>
      </c>
      <c r="L125">
        <v>3</v>
      </c>
      <c r="M125">
        <v>6</v>
      </c>
      <c r="N125" t="s">
        <v>22</v>
      </c>
      <c r="O125">
        <v>449451</v>
      </c>
      <c r="U125">
        <f>Table1[[#This Row],[Interview_Date]]-Table1[[#This Row],[Application_Date]]</f>
        <v>11</v>
      </c>
      <c r="V125">
        <f>IF(OR(Table1[[#This Row],[Offer_Date]]="",Table1[[#This Row],[Interview_Date]]=""),"",Table1[[#This Row],[Offer_Date]]-Table1[[#This Row],[Interview_Date]])</f>
        <v>5</v>
      </c>
    </row>
    <row r="126" spans="1:22" x14ac:dyDescent="0.3">
      <c r="A126" t="s">
        <v>181</v>
      </c>
      <c r="B126" t="s">
        <v>42</v>
      </c>
      <c r="C126" t="s">
        <v>94</v>
      </c>
      <c r="D126" t="s">
        <v>18</v>
      </c>
      <c r="E126">
        <v>40</v>
      </c>
      <c r="F126" t="s">
        <v>19</v>
      </c>
      <c r="G126" t="s">
        <v>27</v>
      </c>
      <c r="H126" t="s">
        <v>21</v>
      </c>
      <c r="I126" s="1">
        <v>44357</v>
      </c>
      <c r="J126" s="1">
        <v>44369</v>
      </c>
      <c r="L126">
        <v>5</v>
      </c>
      <c r="M126">
        <v>4</v>
      </c>
      <c r="N126" t="s">
        <v>28</v>
      </c>
      <c r="O126">
        <v>642468</v>
      </c>
      <c r="U126">
        <f>Table1[[#This Row],[Interview_Date]]-Table1[[#This Row],[Application_Date]]</f>
        <v>12</v>
      </c>
      <c r="V126" t="str">
        <f>IF(OR(Table1[[#This Row],[Offer_Date]]="",Table1[[#This Row],[Interview_Date]]=""),"",Table1[[#This Row],[Offer_Date]]-Table1[[#This Row],[Interview_Date]])</f>
        <v/>
      </c>
    </row>
    <row r="127" spans="1:22" x14ac:dyDescent="0.3">
      <c r="A127" t="s">
        <v>182</v>
      </c>
      <c r="B127" t="s">
        <v>33</v>
      </c>
      <c r="C127" t="s">
        <v>17</v>
      </c>
      <c r="D127" t="s">
        <v>18</v>
      </c>
      <c r="E127">
        <v>44</v>
      </c>
      <c r="F127" t="s">
        <v>31</v>
      </c>
      <c r="G127" t="s">
        <v>27</v>
      </c>
      <c r="H127" t="s">
        <v>54</v>
      </c>
      <c r="I127" s="1">
        <v>45292</v>
      </c>
      <c r="J127" s="1">
        <v>45298</v>
      </c>
      <c r="K127" s="1">
        <v>45301</v>
      </c>
      <c r="L127">
        <v>2</v>
      </c>
      <c r="M127">
        <v>2</v>
      </c>
      <c r="N127" t="s">
        <v>28</v>
      </c>
      <c r="O127">
        <v>853445</v>
      </c>
      <c r="U127">
        <f>Table1[[#This Row],[Interview_Date]]-Table1[[#This Row],[Application_Date]]</f>
        <v>6</v>
      </c>
      <c r="V127">
        <f>IF(OR(Table1[[#This Row],[Offer_Date]]="",Table1[[#This Row],[Interview_Date]]=""),"",Table1[[#This Row],[Offer_Date]]-Table1[[#This Row],[Interview_Date]])</f>
        <v>3</v>
      </c>
    </row>
    <row r="128" spans="1:22" x14ac:dyDescent="0.3">
      <c r="A128" t="s">
        <v>183</v>
      </c>
      <c r="B128" t="s">
        <v>33</v>
      </c>
      <c r="C128" t="s">
        <v>59</v>
      </c>
      <c r="D128" t="s">
        <v>18</v>
      </c>
      <c r="E128">
        <v>36</v>
      </c>
      <c r="F128" t="s">
        <v>34</v>
      </c>
      <c r="G128" t="s">
        <v>44</v>
      </c>
      <c r="H128" t="s">
        <v>21</v>
      </c>
      <c r="I128" s="1">
        <v>44812</v>
      </c>
      <c r="J128" s="1">
        <v>44827</v>
      </c>
      <c r="K128" s="1">
        <v>44832</v>
      </c>
      <c r="L128">
        <v>4</v>
      </c>
      <c r="M128">
        <v>10</v>
      </c>
      <c r="N128" t="s">
        <v>45</v>
      </c>
      <c r="O128">
        <v>698740</v>
      </c>
      <c r="U128">
        <f>Table1[[#This Row],[Interview_Date]]-Table1[[#This Row],[Application_Date]]</f>
        <v>15</v>
      </c>
      <c r="V128">
        <f>IF(OR(Table1[[#This Row],[Offer_Date]]="",Table1[[#This Row],[Interview_Date]]=""),"",Table1[[#This Row],[Offer_Date]]-Table1[[#This Row],[Interview_Date]])</f>
        <v>5</v>
      </c>
    </row>
    <row r="129" spans="1:22" x14ac:dyDescent="0.3">
      <c r="A129" t="s">
        <v>184</v>
      </c>
      <c r="B129" t="s">
        <v>33</v>
      </c>
      <c r="C129" t="s">
        <v>25</v>
      </c>
      <c r="D129" t="s">
        <v>26</v>
      </c>
      <c r="E129">
        <v>30</v>
      </c>
      <c r="F129" t="s">
        <v>31</v>
      </c>
      <c r="G129" t="s">
        <v>60</v>
      </c>
      <c r="H129" t="s">
        <v>36</v>
      </c>
      <c r="I129" s="1">
        <v>44691</v>
      </c>
      <c r="J129" s="1">
        <v>44694</v>
      </c>
      <c r="K129" s="1">
        <v>44701</v>
      </c>
      <c r="L129">
        <v>4</v>
      </c>
      <c r="M129">
        <v>9</v>
      </c>
      <c r="N129" t="s">
        <v>22</v>
      </c>
      <c r="O129">
        <v>810108</v>
      </c>
      <c r="U129">
        <f>Table1[[#This Row],[Interview_Date]]-Table1[[#This Row],[Application_Date]]</f>
        <v>3</v>
      </c>
      <c r="V129">
        <f>IF(OR(Table1[[#This Row],[Offer_Date]]="",Table1[[#This Row],[Interview_Date]]=""),"",Table1[[#This Row],[Offer_Date]]-Table1[[#This Row],[Interview_Date]])</f>
        <v>7</v>
      </c>
    </row>
    <row r="130" spans="1:22" x14ac:dyDescent="0.3">
      <c r="A130" t="s">
        <v>185</v>
      </c>
      <c r="B130" t="s">
        <v>47</v>
      </c>
      <c r="C130" t="s">
        <v>94</v>
      </c>
      <c r="D130" t="s">
        <v>26</v>
      </c>
      <c r="E130">
        <v>26</v>
      </c>
      <c r="F130" t="s">
        <v>34</v>
      </c>
      <c r="G130" t="s">
        <v>35</v>
      </c>
      <c r="H130" t="s">
        <v>54</v>
      </c>
      <c r="I130" s="1">
        <v>44815</v>
      </c>
      <c r="J130" s="1">
        <v>44818</v>
      </c>
      <c r="K130" s="1">
        <v>44825</v>
      </c>
      <c r="L130">
        <v>1</v>
      </c>
      <c r="M130">
        <v>9</v>
      </c>
      <c r="N130" t="s">
        <v>45</v>
      </c>
      <c r="O130">
        <v>365716</v>
      </c>
      <c r="U130">
        <f>Table1[[#This Row],[Interview_Date]]-Table1[[#This Row],[Application_Date]]</f>
        <v>3</v>
      </c>
      <c r="V130">
        <f>IF(OR(Table1[[#This Row],[Offer_Date]]="",Table1[[#This Row],[Interview_Date]]=""),"",Table1[[#This Row],[Offer_Date]]-Table1[[#This Row],[Interview_Date]])</f>
        <v>7</v>
      </c>
    </row>
    <row r="131" spans="1:22" x14ac:dyDescent="0.3">
      <c r="A131" t="s">
        <v>186</v>
      </c>
      <c r="B131" t="s">
        <v>58</v>
      </c>
      <c r="C131" t="s">
        <v>94</v>
      </c>
      <c r="D131" t="s">
        <v>18</v>
      </c>
      <c r="E131">
        <v>32</v>
      </c>
      <c r="F131" t="s">
        <v>31</v>
      </c>
      <c r="G131" t="s">
        <v>27</v>
      </c>
      <c r="H131" t="s">
        <v>21</v>
      </c>
      <c r="I131" s="1">
        <v>44304</v>
      </c>
      <c r="J131" s="1">
        <v>44309</v>
      </c>
      <c r="L131">
        <v>2</v>
      </c>
      <c r="M131">
        <v>3</v>
      </c>
      <c r="N131" t="s">
        <v>22</v>
      </c>
      <c r="O131">
        <v>660420</v>
      </c>
      <c r="U131">
        <f>Table1[[#This Row],[Interview_Date]]-Table1[[#This Row],[Application_Date]]</f>
        <v>5</v>
      </c>
      <c r="V131" t="str">
        <f>IF(OR(Table1[[#This Row],[Offer_Date]]="",Table1[[#This Row],[Interview_Date]]=""),"",Table1[[#This Row],[Offer_Date]]-Table1[[#This Row],[Interview_Date]])</f>
        <v/>
      </c>
    </row>
    <row r="132" spans="1:22" x14ac:dyDescent="0.3">
      <c r="A132" t="s">
        <v>187</v>
      </c>
      <c r="B132" t="s">
        <v>47</v>
      </c>
      <c r="C132" t="s">
        <v>66</v>
      </c>
      <c r="D132" t="s">
        <v>26</v>
      </c>
      <c r="E132">
        <v>33</v>
      </c>
      <c r="F132" t="s">
        <v>56</v>
      </c>
      <c r="G132" t="s">
        <v>35</v>
      </c>
      <c r="H132" t="s">
        <v>40</v>
      </c>
      <c r="I132" s="1">
        <v>45207</v>
      </c>
      <c r="J132" s="1">
        <v>45212</v>
      </c>
      <c r="L132">
        <v>1</v>
      </c>
      <c r="M132">
        <v>8</v>
      </c>
      <c r="N132" t="s">
        <v>22</v>
      </c>
      <c r="O132">
        <v>354786</v>
      </c>
      <c r="U132">
        <f>Table1[[#This Row],[Interview_Date]]-Table1[[#This Row],[Application_Date]]</f>
        <v>5</v>
      </c>
      <c r="V132" t="str">
        <f>IF(OR(Table1[[#This Row],[Offer_Date]]="",Table1[[#This Row],[Interview_Date]]=""),"",Table1[[#This Row],[Offer_Date]]-Table1[[#This Row],[Interview_Date]])</f>
        <v/>
      </c>
    </row>
    <row r="133" spans="1:22" x14ac:dyDescent="0.3">
      <c r="A133" t="s">
        <v>188</v>
      </c>
      <c r="B133" t="s">
        <v>63</v>
      </c>
      <c r="C133" t="s">
        <v>59</v>
      </c>
      <c r="D133" t="s">
        <v>18</v>
      </c>
      <c r="E133">
        <v>28</v>
      </c>
      <c r="F133" t="s">
        <v>74</v>
      </c>
      <c r="G133" t="s">
        <v>60</v>
      </c>
      <c r="H133" t="s">
        <v>54</v>
      </c>
      <c r="I133" s="1">
        <v>44320</v>
      </c>
      <c r="J133" s="1">
        <v>44323</v>
      </c>
      <c r="L133">
        <v>2</v>
      </c>
      <c r="M133">
        <v>2</v>
      </c>
      <c r="N133" t="s">
        <v>28</v>
      </c>
      <c r="O133">
        <v>418908</v>
      </c>
      <c r="U133">
        <f>Table1[[#This Row],[Interview_Date]]-Table1[[#This Row],[Application_Date]]</f>
        <v>3</v>
      </c>
      <c r="V133" t="str">
        <f>IF(OR(Table1[[#This Row],[Offer_Date]]="",Table1[[#This Row],[Interview_Date]]=""),"",Table1[[#This Row],[Offer_Date]]-Table1[[#This Row],[Interview_Date]])</f>
        <v/>
      </c>
    </row>
    <row r="134" spans="1:22" x14ac:dyDescent="0.3">
      <c r="A134" t="s">
        <v>189</v>
      </c>
      <c r="B134" t="s">
        <v>42</v>
      </c>
      <c r="C134" t="s">
        <v>30</v>
      </c>
      <c r="D134" t="s">
        <v>18</v>
      </c>
      <c r="E134">
        <v>31</v>
      </c>
      <c r="F134" t="s">
        <v>39</v>
      </c>
      <c r="G134" t="s">
        <v>20</v>
      </c>
      <c r="H134" t="s">
        <v>51</v>
      </c>
      <c r="I134" s="1">
        <v>45158</v>
      </c>
      <c r="J134" s="1">
        <v>45168</v>
      </c>
      <c r="K134" s="1">
        <v>45171</v>
      </c>
      <c r="L134">
        <v>4</v>
      </c>
      <c r="M134">
        <v>2</v>
      </c>
      <c r="N134" t="s">
        <v>22</v>
      </c>
      <c r="O134">
        <v>1063345</v>
      </c>
      <c r="U134">
        <f>Table1[[#This Row],[Interview_Date]]-Table1[[#This Row],[Application_Date]]</f>
        <v>10</v>
      </c>
      <c r="V134">
        <f>IF(OR(Table1[[#This Row],[Offer_Date]]="",Table1[[#This Row],[Interview_Date]]=""),"",Table1[[#This Row],[Offer_Date]]-Table1[[#This Row],[Interview_Date]])</f>
        <v>3</v>
      </c>
    </row>
    <row r="135" spans="1:22" x14ac:dyDescent="0.3">
      <c r="A135" t="s">
        <v>190</v>
      </c>
      <c r="B135" t="s">
        <v>58</v>
      </c>
      <c r="C135" t="s">
        <v>17</v>
      </c>
      <c r="D135" t="s">
        <v>26</v>
      </c>
      <c r="E135">
        <v>45</v>
      </c>
      <c r="F135" t="s">
        <v>74</v>
      </c>
      <c r="G135" t="s">
        <v>60</v>
      </c>
      <c r="H135" t="s">
        <v>21</v>
      </c>
      <c r="I135" s="1">
        <v>45081</v>
      </c>
      <c r="J135" s="1">
        <v>45087</v>
      </c>
      <c r="L135">
        <v>3</v>
      </c>
      <c r="M135">
        <v>9</v>
      </c>
      <c r="N135" t="s">
        <v>28</v>
      </c>
      <c r="O135">
        <v>729882</v>
      </c>
      <c r="U135">
        <f>Table1[[#This Row],[Interview_Date]]-Table1[[#This Row],[Application_Date]]</f>
        <v>6</v>
      </c>
      <c r="V135" t="str">
        <f>IF(OR(Table1[[#This Row],[Offer_Date]]="",Table1[[#This Row],[Interview_Date]]=""),"",Table1[[#This Row],[Offer_Date]]-Table1[[#This Row],[Interview_Date]])</f>
        <v/>
      </c>
    </row>
    <row r="136" spans="1:22" x14ac:dyDescent="0.3">
      <c r="A136" t="s">
        <v>191</v>
      </c>
      <c r="B136" t="s">
        <v>16</v>
      </c>
      <c r="C136" t="s">
        <v>53</v>
      </c>
      <c r="D136" t="s">
        <v>26</v>
      </c>
      <c r="E136">
        <v>40</v>
      </c>
      <c r="F136" t="s">
        <v>74</v>
      </c>
      <c r="G136" t="s">
        <v>60</v>
      </c>
      <c r="H136" t="s">
        <v>21</v>
      </c>
      <c r="I136" s="1">
        <v>44371</v>
      </c>
      <c r="J136" s="1">
        <v>44382</v>
      </c>
      <c r="K136" s="1">
        <v>44386</v>
      </c>
      <c r="L136">
        <v>3</v>
      </c>
      <c r="M136">
        <v>3</v>
      </c>
      <c r="N136" t="s">
        <v>48</v>
      </c>
      <c r="O136">
        <v>581523</v>
      </c>
      <c r="U136">
        <f>Table1[[#This Row],[Interview_Date]]-Table1[[#This Row],[Application_Date]]</f>
        <v>11</v>
      </c>
      <c r="V136">
        <f>IF(OR(Table1[[#This Row],[Offer_Date]]="",Table1[[#This Row],[Interview_Date]]=""),"",Table1[[#This Row],[Offer_Date]]-Table1[[#This Row],[Interview_Date]])</f>
        <v>4</v>
      </c>
    </row>
    <row r="137" spans="1:22" x14ac:dyDescent="0.3">
      <c r="A137" t="s">
        <v>192</v>
      </c>
      <c r="B137" t="s">
        <v>47</v>
      </c>
      <c r="C137" t="s">
        <v>50</v>
      </c>
      <c r="D137" t="s">
        <v>26</v>
      </c>
      <c r="E137">
        <v>28</v>
      </c>
      <c r="F137" t="s">
        <v>39</v>
      </c>
      <c r="G137" t="s">
        <v>27</v>
      </c>
      <c r="H137" t="s">
        <v>36</v>
      </c>
      <c r="I137" s="1">
        <v>44414</v>
      </c>
      <c r="J137" s="1">
        <v>44423</v>
      </c>
      <c r="K137" s="1">
        <v>44430</v>
      </c>
      <c r="L137">
        <v>2</v>
      </c>
      <c r="M137">
        <v>7</v>
      </c>
      <c r="N137" t="s">
        <v>48</v>
      </c>
      <c r="O137">
        <v>727102</v>
      </c>
      <c r="U137">
        <f>Table1[[#This Row],[Interview_Date]]-Table1[[#This Row],[Application_Date]]</f>
        <v>9</v>
      </c>
      <c r="V137">
        <f>IF(OR(Table1[[#This Row],[Offer_Date]]="",Table1[[#This Row],[Interview_Date]]=""),"",Table1[[#This Row],[Offer_Date]]-Table1[[#This Row],[Interview_Date]])</f>
        <v>7</v>
      </c>
    </row>
    <row r="138" spans="1:22" x14ac:dyDescent="0.3">
      <c r="A138" t="s">
        <v>193</v>
      </c>
      <c r="B138" t="s">
        <v>47</v>
      </c>
      <c r="C138" t="s">
        <v>25</v>
      </c>
      <c r="D138" t="s">
        <v>18</v>
      </c>
      <c r="E138">
        <v>28</v>
      </c>
      <c r="F138" t="s">
        <v>56</v>
      </c>
      <c r="G138" t="s">
        <v>27</v>
      </c>
      <c r="H138" t="s">
        <v>36</v>
      </c>
      <c r="I138" s="1">
        <v>44494</v>
      </c>
      <c r="J138" s="1">
        <v>44502</v>
      </c>
      <c r="K138" s="1">
        <v>44506</v>
      </c>
      <c r="L138">
        <v>3</v>
      </c>
      <c r="M138">
        <v>9</v>
      </c>
      <c r="N138" t="s">
        <v>48</v>
      </c>
      <c r="O138">
        <v>1187614</v>
      </c>
      <c r="U138">
        <f>Table1[[#This Row],[Interview_Date]]-Table1[[#This Row],[Application_Date]]</f>
        <v>8</v>
      </c>
      <c r="V138">
        <f>IF(OR(Table1[[#This Row],[Offer_Date]]="",Table1[[#This Row],[Interview_Date]]=""),"",Table1[[#This Row],[Offer_Date]]-Table1[[#This Row],[Interview_Date]])</f>
        <v>4</v>
      </c>
    </row>
    <row r="139" spans="1:22" x14ac:dyDescent="0.3">
      <c r="A139" t="s">
        <v>194</v>
      </c>
      <c r="B139" t="s">
        <v>63</v>
      </c>
      <c r="C139" t="s">
        <v>25</v>
      </c>
      <c r="D139" t="s">
        <v>26</v>
      </c>
      <c r="E139">
        <v>24</v>
      </c>
      <c r="F139" t="s">
        <v>31</v>
      </c>
      <c r="G139" t="s">
        <v>60</v>
      </c>
      <c r="H139" t="s">
        <v>21</v>
      </c>
      <c r="I139" s="1">
        <v>44775</v>
      </c>
      <c r="J139" s="1">
        <v>44788</v>
      </c>
      <c r="K139" s="1">
        <v>44790</v>
      </c>
      <c r="L139">
        <v>3</v>
      </c>
      <c r="M139">
        <v>8</v>
      </c>
      <c r="N139" t="s">
        <v>22</v>
      </c>
      <c r="O139">
        <v>333241</v>
      </c>
      <c r="U139">
        <f>Table1[[#This Row],[Interview_Date]]-Table1[[#This Row],[Application_Date]]</f>
        <v>13</v>
      </c>
      <c r="V139">
        <f>IF(OR(Table1[[#This Row],[Offer_Date]]="",Table1[[#This Row],[Interview_Date]]=""),"",Table1[[#This Row],[Offer_Date]]-Table1[[#This Row],[Interview_Date]])</f>
        <v>2</v>
      </c>
    </row>
    <row r="140" spans="1:22" x14ac:dyDescent="0.3">
      <c r="A140" t="s">
        <v>195</v>
      </c>
      <c r="B140" t="s">
        <v>38</v>
      </c>
      <c r="C140" t="s">
        <v>43</v>
      </c>
      <c r="D140" t="s">
        <v>26</v>
      </c>
      <c r="E140">
        <v>40</v>
      </c>
      <c r="F140" t="s">
        <v>34</v>
      </c>
      <c r="G140" t="s">
        <v>60</v>
      </c>
      <c r="H140" t="s">
        <v>51</v>
      </c>
      <c r="I140" s="1">
        <v>45016</v>
      </c>
      <c r="J140" s="1">
        <v>45027</v>
      </c>
      <c r="L140">
        <v>3</v>
      </c>
      <c r="M140">
        <v>8</v>
      </c>
      <c r="N140" t="s">
        <v>48</v>
      </c>
      <c r="O140">
        <v>385405</v>
      </c>
      <c r="U140">
        <f>Table1[[#This Row],[Interview_Date]]-Table1[[#This Row],[Application_Date]]</f>
        <v>11</v>
      </c>
      <c r="V140" t="str">
        <f>IF(OR(Table1[[#This Row],[Offer_Date]]="",Table1[[#This Row],[Interview_Date]]=""),"",Table1[[#This Row],[Offer_Date]]-Table1[[#This Row],[Interview_Date]])</f>
        <v/>
      </c>
    </row>
    <row r="141" spans="1:22" x14ac:dyDescent="0.3">
      <c r="A141" t="s">
        <v>196</v>
      </c>
      <c r="B141" t="s">
        <v>47</v>
      </c>
      <c r="C141" t="s">
        <v>69</v>
      </c>
      <c r="D141" t="s">
        <v>18</v>
      </c>
      <c r="E141">
        <v>27</v>
      </c>
      <c r="F141" t="s">
        <v>31</v>
      </c>
      <c r="G141" t="s">
        <v>27</v>
      </c>
      <c r="H141" t="s">
        <v>54</v>
      </c>
      <c r="I141" s="1">
        <v>45227</v>
      </c>
      <c r="J141" s="1">
        <v>45237</v>
      </c>
      <c r="L141">
        <v>4</v>
      </c>
      <c r="M141">
        <v>6</v>
      </c>
      <c r="N141" t="s">
        <v>45</v>
      </c>
      <c r="O141">
        <v>732470</v>
      </c>
      <c r="U141">
        <f>Table1[[#This Row],[Interview_Date]]-Table1[[#This Row],[Application_Date]]</f>
        <v>10</v>
      </c>
      <c r="V141" t="str">
        <f>IF(OR(Table1[[#This Row],[Offer_Date]]="",Table1[[#This Row],[Interview_Date]]=""),"",Table1[[#This Row],[Offer_Date]]-Table1[[#This Row],[Interview_Date]])</f>
        <v/>
      </c>
    </row>
    <row r="142" spans="1:22" x14ac:dyDescent="0.3">
      <c r="A142" t="s">
        <v>197</v>
      </c>
      <c r="B142" t="s">
        <v>58</v>
      </c>
      <c r="C142" t="s">
        <v>30</v>
      </c>
      <c r="D142" t="s">
        <v>18</v>
      </c>
      <c r="E142">
        <v>30</v>
      </c>
      <c r="F142" t="s">
        <v>39</v>
      </c>
      <c r="G142" t="s">
        <v>20</v>
      </c>
      <c r="H142" t="s">
        <v>21</v>
      </c>
      <c r="I142" s="1">
        <v>44950</v>
      </c>
      <c r="J142" s="1">
        <v>44962</v>
      </c>
      <c r="K142" s="1">
        <v>44966</v>
      </c>
      <c r="L142">
        <v>3</v>
      </c>
      <c r="M142">
        <v>3</v>
      </c>
      <c r="N142" t="s">
        <v>22</v>
      </c>
      <c r="O142">
        <v>1041707</v>
      </c>
      <c r="U142">
        <f>Table1[[#This Row],[Interview_Date]]-Table1[[#This Row],[Application_Date]]</f>
        <v>12</v>
      </c>
      <c r="V142">
        <f>IF(OR(Table1[[#This Row],[Offer_Date]]="",Table1[[#This Row],[Interview_Date]]=""),"",Table1[[#This Row],[Offer_Date]]-Table1[[#This Row],[Interview_Date]])</f>
        <v>4</v>
      </c>
    </row>
    <row r="143" spans="1:22" x14ac:dyDescent="0.3">
      <c r="A143" t="s">
        <v>198</v>
      </c>
      <c r="B143" t="s">
        <v>33</v>
      </c>
      <c r="C143" t="s">
        <v>17</v>
      </c>
      <c r="D143" t="s">
        <v>18</v>
      </c>
      <c r="E143">
        <v>42</v>
      </c>
      <c r="F143" t="s">
        <v>56</v>
      </c>
      <c r="G143" t="s">
        <v>20</v>
      </c>
      <c r="H143" t="s">
        <v>21</v>
      </c>
      <c r="I143" s="1">
        <v>45034</v>
      </c>
      <c r="J143" s="1">
        <v>45043</v>
      </c>
      <c r="L143">
        <v>4</v>
      </c>
      <c r="M143">
        <v>5</v>
      </c>
      <c r="N143" t="s">
        <v>22</v>
      </c>
      <c r="O143">
        <v>832177</v>
      </c>
      <c r="U143">
        <f>Table1[[#This Row],[Interview_Date]]-Table1[[#This Row],[Application_Date]]</f>
        <v>9</v>
      </c>
      <c r="V143" t="str">
        <f>IF(OR(Table1[[#This Row],[Offer_Date]]="",Table1[[#This Row],[Interview_Date]]=""),"",Table1[[#This Row],[Offer_Date]]-Table1[[#This Row],[Interview_Date]])</f>
        <v/>
      </c>
    </row>
    <row r="144" spans="1:22" x14ac:dyDescent="0.3">
      <c r="A144" t="s">
        <v>199</v>
      </c>
      <c r="B144" t="s">
        <v>63</v>
      </c>
      <c r="C144" t="s">
        <v>53</v>
      </c>
      <c r="D144" t="s">
        <v>26</v>
      </c>
      <c r="E144">
        <v>36</v>
      </c>
      <c r="F144" t="s">
        <v>74</v>
      </c>
      <c r="G144" t="s">
        <v>44</v>
      </c>
      <c r="H144" t="s">
        <v>51</v>
      </c>
      <c r="I144" s="1">
        <v>44336</v>
      </c>
      <c r="J144" s="1">
        <v>44342</v>
      </c>
      <c r="L144">
        <v>3</v>
      </c>
      <c r="M144">
        <v>4</v>
      </c>
      <c r="N144" t="s">
        <v>28</v>
      </c>
      <c r="O144">
        <v>488912</v>
      </c>
      <c r="U144">
        <f>Table1[[#This Row],[Interview_Date]]-Table1[[#This Row],[Application_Date]]</f>
        <v>6</v>
      </c>
      <c r="V144" t="str">
        <f>IF(OR(Table1[[#This Row],[Offer_Date]]="",Table1[[#This Row],[Interview_Date]]=""),"",Table1[[#This Row],[Offer_Date]]-Table1[[#This Row],[Interview_Date]])</f>
        <v/>
      </c>
    </row>
    <row r="145" spans="1:22" x14ac:dyDescent="0.3">
      <c r="A145" t="s">
        <v>200</v>
      </c>
      <c r="B145" t="s">
        <v>33</v>
      </c>
      <c r="C145" t="s">
        <v>30</v>
      </c>
      <c r="D145" t="s">
        <v>26</v>
      </c>
      <c r="E145">
        <v>45</v>
      </c>
      <c r="F145" t="s">
        <v>74</v>
      </c>
      <c r="G145" t="s">
        <v>27</v>
      </c>
      <c r="H145" t="s">
        <v>36</v>
      </c>
      <c r="I145" s="1">
        <v>44594</v>
      </c>
      <c r="J145" s="1">
        <v>44599</v>
      </c>
      <c r="L145">
        <v>3</v>
      </c>
      <c r="M145">
        <v>5</v>
      </c>
      <c r="N145" t="s">
        <v>48</v>
      </c>
      <c r="O145">
        <v>566804</v>
      </c>
      <c r="U145">
        <f>Table1[[#This Row],[Interview_Date]]-Table1[[#This Row],[Application_Date]]</f>
        <v>5</v>
      </c>
      <c r="V145" t="str">
        <f>IF(OR(Table1[[#This Row],[Offer_Date]]="",Table1[[#This Row],[Interview_Date]]=""),"",Table1[[#This Row],[Offer_Date]]-Table1[[#This Row],[Interview_Date]])</f>
        <v/>
      </c>
    </row>
    <row r="146" spans="1:22" x14ac:dyDescent="0.3">
      <c r="A146" t="s">
        <v>201</v>
      </c>
      <c r="B146" t="s">
        <v>58</v>
      </c>
      <c r="C146" t="s">
        <v>50</v>
      </c>
      <c r="D146" t="s">
        <v>18</v>
      </c>
      <c r="E146">
        <v>45</v>
      </c>
      <c r="F146" t="s">
        <v>34</v>
      </c>
      <c r="G146" t="s">
        <v>27</v>
      </c>
      <c r="H146" t="s">
        <v>54</v>
      </c>
      <c r="I146" s="1">
        <v>45369</v>
      </c>
      <c r="J146" s="1">
        <v>45377</v>
      </c>
      <c r="K146" s="1">
        <v>45379</v>
      </c>
      <c r="L146">
        <v>3</v>
      </c>
      <c r="M146">
        <v>8</v>
      </c>
      <c r="N146" t="s">
        <v>28</v>
      </c>
      <c r="O146">
        <v>697758</v>
      </c>
      <c r="U146">
        <f>Table1[[#This Row],[Interview_Date]]-Table1[[#This Row],[Application_Date]]</f>
        <v>8</v>
      </c>
      <c r="V146">
        <f>IF(OR(Table1[[#This Row],[Offer_Date]]="",Table1[[#This Row],[Interview_Date]]=""),"",Table1[[#This Row],[Offer_Date]]-Table1[[#This Row],[Interview_Date]])</f>
        <v>2</v>
      </c>
    </row>
    <row r="147" spans="1:22" x14ac:dyDescent="0.3">
      <c r="A147" t="s">
        <v>202</v>
      </c>
      <c r="B147" t="s">
        <v>47</v>
      </c>
      <c r="C147" t="s">
        <v>66</v>
      </c>
      <c r="D147" t="s">
        <v>26</v>
      </c>
      <c r="E147">
        <v>39</v>
      </c>
      <c r="F147" t="s">
        <v>34</v>
      </c>
      <c r="G147" t="s">
        <v>35</v>
      </c>
      <c r="H147" t="s">
        <v>54</v>
      </c>
      <c r="I147" s="1">
        <v>44638</v>
      </c>
      <c r="J147" s="1">
        <v>44644</v>
      </c>
      <c r="K147" s="1">
        <v>44648</v>
      </c>
      <c r="L147">
        <v>2</v>
      </c>
      <c r="M147">
        <v>8</v>
      </c>
      <c r="N147" t="s">
        <v>22</v>
      </c>
      <c r="O147">
        <v>799755</v>
      </c>
      <c r="U147">
        <f>Table1[[#This Row],[Interview_Date]]-Table1[[#This Row],[Application_Date]]</f>
        <v>6</v>
      </c>
      <c r="V147">
        <f>IF(OR(Table1[[#This Row],[Offer_Date]]="",Table1[[#This Row],[Interview_Date]]=""),"",Table1[[#This Row],[Offer_Date]]-Table1[[#This Row],[Interview_Date]])</f>
        <v>4</v>
      </c>
    </row>
    <row r="148" spans="1:22" x14ac:dyDescent="0.3">
      <c r="A148" t="s">
        <v>203</v>
      </c>
      <c r="B148" t="s">
        <v>16</v>
      </c>
      <c r="C148" t="s">
        <v>30</v>
      </c>
      <c r="D148" t="s">
        <v>18</v>
      </c>
      <c r="E148">
        <v>29</v>
      </c>
      <c r="F148" t="s">
        <v>31</v>
      </c>
      <c r="G148" t="s">
        <v>27</v>
      </c>
      <c r="H148" t="s">
        <v>40</v>
      </c>
      <c r="I148" s="1">
        <v>44549</v>
      </c>
      <c r="J148" s="1">
        <v>44556</v>
      </c>
      <c r="K148" s="1">
        <v>44559</v>
      </c>
      <c r="L148">
        <v>4</v>
      </c>
      <c r="M148">
        <v>4</v>
      </c>
      <c r="N148" t="s">
        <v>28</v>
      </c>
      <c r="O148">
        <v>637844</v>
      </c>
      <c r="U148">
        <f>Table1[[#This Row],[Interview_Date]]-Table1[[#This Row],[Application_Date]]</f>
        <v>7</v>
      </c>
      <c r="V148">
        <f>IF(OR(Table1[[#This Row],[Offer_Date]]="",Table1[[#This Row],[Interview_Date]]=""),"",Table1[[#This Row],[Offer_Date]]-Table1[[#This Row],[Interview_Date]])</f>
        <v>3</v>
      </c>
    </row>
    <row r="149" spans="1:22" x14ac:dyDescent="0.3">
      <c r="A149" t="s">
        <v>204</v>
      </c>
      <c r="B149" t="s">
        <v>42</v>
      </c>
      <c r="C149" t="s">
        <v>43</v>
      </c>
      <c r="D149" t="s">
        <v>26</v>
      </c>
      <c r="E149">
        <v>43</v>
      </c>
      <c r="F149" t="s">
        <v>31</v>
      </c>
      <c r="G149" t="s">
        <v>44</v>
      </c>
      <c r="H149" t="s">
        <v>54</v>
      </c>
      <c r="I149" s="1">
        <v>44341</v>
      </c>
      <c r="J149" s="1">
        <v>44346</v>
      </c>
      <c r="L149">
        <v>4</v>
      </c>
      <c r="M149">
        <v>6</v>
      </c>
      <c r="N149" t="s">
        <v>22</v>
      </c>
      <c r="O149">
        <v>862058</v>
      </c>
      <c r="U149">
        <f>Table1[[#This Row],[Interview_Date]]-Table1[[#This Row],[Application_Date]]</f>
        <v>5</v>
      </c>
      <c r="V149" t="str">
        <f>IF(OR(Table1[[#This Row],[Offer_Date]]="",Table1[[#This Row],[Interview_Date]]=""),"",Table1[[#This Row],[Offer_Date]]-Table1[[#This Row],[Interview_Date]])</f>
        <v/>
      </c>
    </row>
    <row r="150" spans="1:22" x14ac:dyDescent="0.3">
      <c r="A150" t="s">
        <v>205</v>
      </c>
      <c r="B150" t="s">
        <v>63</v>
      </c>
      <c r="C150" t="s">
        <v>66</v>
      </c>
      <c r="D150" t="s">
        <v>18</v>
      </c>
      <c r="E150">
        <v>42</v>
      </c>
      <c r="F150" t="s">
        <v>39</v>
      </c>
      <c r="G150" t="s">
        <v>20</v>
      </c>
      <c r="H150" t="s">
        <v>54</v>
      </c>
      <c r="I150" s="1">
        <v>44746</v>
      </c>
      <c r="J150" s="1">
        <v>44752</v>
      </c>
      <c r="K150" s="1">
        <v>44756</v>
      </c>
      <c r="L150">
        <v>2</v>
      </c>
      <c r="M150">
        <v>9</v>
      </c>
      <c r="N150" t="s">
        <v>22</v>
      </c>
      <c r="O150">
        <v>631166</v>
      </c>
      <c r="U150">
        <f>Table1[[#This Row],[Interview_Date]]-Table1[[#This Row],[Application_Date]]</f>
        <v>6</v>
      </c>
      <c r="V150">
        <f>IF(OR(Table1[[#This Row],[Offer_Date]]="",Table1[[#This Row],[Interview_Date]]=""),"",Table1[[#This Row],[Offer_Date]]-Table1[[#This Row],[Interview_Date]])</f>
        <v>4</v>
      </c>
    </row>
    <row r="151" spans="1:22" x14ac:dyDescent="0.3">
      <c r="A151" t="s">
        <v>206</v>
      </c>
      <c r="B151" t="s">
        <v>65</v>
      </c>
      <c r="C151" t="s">
        <v>50</v>
      </c>
      <c r="D151" t="s">
        <v>18</v>
      </c>
      <c r="E151">
        <v>35</v>
      </c>
      <c r="F151" t="s">
        <v>74</v>
      </c>
      <c r="G151" t="s">
        <v>44</v>
      </c>
      <c r="H151" t="s">
        <v>54</v>
      </c>
      <c r="I151" s="1">
        <v>44590</v>
      </c>
      <c r="J151" s="1">
        <v>44603</v>
      </c>
      <c r="K151" s="1">
        <v>44608</v>
      </c>
      <c r="L151">
        <v>2</v>
      </c>
      <c r="M151">
        <v>6</v>
      </c>
      <c r="N151" t="s">
        <v>45</v>
      </c>
      <c r="O151">
        <v>465886</v>
      </c>
      <c r="U151">
        <f>Table1[[#This Row],[Interview_Date]]-Table1[[#This Row],[Application_Date]]</f>
        <v>13</v>
      </c>
      <c r="V151">
        <f>IF(OR(Table1[[#This Row],[Offer_Date]]="",Table1[[#This Row],[Interview_Date]]=""),"",Table1[[#This Row],[Offer_Date]]-Table1[[#This Row],[Interview_Date]])</f>
        <v>5</v>
      </c>
    </row>
    <row r="152" spans="1:22" x14ac:dyDescent="0.3">
      <c r="A152" t="s">
        <v>207</v>
      </c>
      <c r="B152" t="s">
        <v>38</v>
      </c>
      <c r="C152" t="s">
        <v>25</v>
      </c>
      <c r="D152" t="s">
        <v>18</v>
      </c>
      <c r="E152">
        <v>30</v>
      </c>
      <c r="F152" t="s">
        <v>74</v>
      </c>
      <c r="G152" t="s">
        <v>20</v>
      </c>
      <c r="H152" t="s">
        <v>51</v>
      </c>
      <c r="I152" s="1">
        <v>44271</v>
      </c>
      <c r="J152" s="1">
        <v>44286</v>
      </c>
      <c r="K152" s="1">
        <v>44293</v>
      </c>
      <c r="L152">
        <v>5</v>
      </c>
      <c r="M152">
        <v>8</v>
      </c>
      <c r="N152" t="s">
        <v>45</v>
      </c>
      <c r="O152">
        <v>595950</v>
      </c>
      <c r="U152">
        <f>Table1[[#This Row],[Interview_Date]]-Table1[[#This Row],[Application_Date]]</f>
        <v>15</v>
      </c>
      <c r="V152">
        <f>IF(OR(Table1[[#This Row],[Offer_Date]]="",Table1[[#This Row],[Interview_Date]]=""),"",Table1[[#This Row],[Offer_Date]]-Table1[[#This Row],[Interview_Date]])</f>
        <v>7</v>
      </c>
    </row>
    <row r="153" spans="1:22" x14ac:dyDescent="0.3">
      <c r="A153" t="s">
        <v>208</v>
      </c>
      <c r="B153" t="s">
        <v>58</v>
      </c>
      <c r="C153" t="s">
        <v>94</v>
      </c>
      <c r="D153" t="s">
        <v>26</v>
      </c>
      <c r="E153">
        <v>29</v>
      </c>
      <c r="F153" t="s">
        <v>31</v>
      </c>
      <c r="G153" t="s">
        <v>44</v>
      </c>
      <c r="H153" t="s">
        <v>21</v>
      </c>
      <c r="I153" s="1">
        <v>45144</v>
      </c>
      <c r="J153" s="1">
        <v>45154</v>
      </c>
      <c r="K153" s="1">
        <v>45160</v>
      </c>
      <c r="L153">
        <v>1</v>
      </c>
      <c r="M153">
        <v>4</v>
      </c>
      <c r="N153" t="s">
        <v>45</v>
      </c>
      <c r="O153">
        <v>342729</v>
      </c>
      <c r="U153">
        <f>Table1[[#This Row],[Interview_Date]]-Table1[[#This Row],[Application_Date]]</f>
        <v>10</v>
      </c>
      <c r="V153">
        <f>IF(OR(Table1[[#This Row],[Offer_Date]]="",Table1[[#This Row],[Interview_Date]]=""),"",Table1[[#This Row],[Offer_Date]]-Table1[[#This Row],[Interview_Date]])</f>
        <v>6</v>
      </c>
    </row>
    <row r="154" spans="1:22" x14ac:dyDescent="0.3">
      <c r="A154" t="s">
        <v>209</v>
      </c>
      <c r="B154" t="s">
        <v>42</v>
      </c>
      <c r="C154" t="s">
        <v>69</v>
      </c>
      <c r="D154" t="s">
        <v>18</v>
      </c>
      <c r="E154">
        <v>34</v>
      </c>
      <c r="F154" t="s">
        <v>31</v>
      </c>
      <c r="G154" t="s">
        <v>60</v>
      </c>
      <c r="H154" t="s">
        <v>54</v>
      </c>
      <c r="I154" s="1">
        <v>45029</v>
      </c>
      <c r="J154" s="1">
        <v>45038</v>
      </c>
      <c r="K154" s="1">
        <v>45044</v>
      </c>
      <c r="L154">
        <v>5</v>
      </c>
      <c r="M154">
        <v>5</v>
      </c>
      <c r="N154" t="s">
        <v>48</v>
      </c>
      <c r="O154">
        <v>1089110</v>
      </c>
      <c r="U154">
        <f>Table1[[#This Row],[Interview_Date]]-Table1[[#This Row],[Application_Date]]</f>
        <v>9</v>
      </c>
      <c r="V154">
        <f>IF(OR(Table1[[#This Row],[Offer_Date]]="",Table1[[#This Row],[Interview_Date]]=""),"",Table1[[#This Row],[Offer_Date]]-Table1[[#This Row],[Interview_Date]])</f>
        <v>6</v>
      </c>
    </row>
    <row r="155" spans="1:22" x14ac:dyDescent="0.3">
      <c r="A155" t="s">
        <v>210</v>
      </c>
      <c r="B155" t="s">
        <v>47</v>
      </c>
      <c r="C155" t="s">
        <v>59</v>
      </c>
      <c r="D155" t="s">
        <v>18</v>
      </c>
      <c r="E155">
        <v>22</v>
      </c>
      <c r="F155" t="s">
        <v>39</v>
      </c>
      <c r="G155" t="s">
        <v>35</v>
      </c>
      <c r="H155" t="s">
        <v>54</v>
      </c>
      <c r="I155" s="1">
        <v>44999</v>
      </c>
      <c r="J155" s="1">
        <v>45010</v>
      </c>
      <c r="L155">
        <v>2</v>
      </c>
      <c r="M155">
        <v>3</v>
      </c>
      <c r="N155" t="s">
        <v>28</v>
      </c>
      <c r="O155">
        <v>760195</v>
      </c>
      <c r="U155">
        <f>Table1[[#This Row],[Interview_Date]]-Table1[[#This Row],[Application_Date]]</f>
        <v>11</v>
      </c>
      <c r="V155" t="str">
        <f>IF(OR(Table1[[#This Row],[Offer_Date]]="",Table1[[#This Row],[Interview_Date]]=""),"",Table1[[#This Row],[Offer_Date]]-Table1[[#This Row],[Interview_Date]])</f>
        <v/>
      </c>
    </row>
    <row r="156" spans="1:22" x14ac:dyDescent="0.3">
      <c r="A156" t="s">
        <v>211</v>
      </c>
      <c r="B156" t="s">
        <v>16</v>
      </c>
      <c r="C156" t="s">
        <v>94</v>
      </c>
      <c r="D156" t="s">
        <v>18</v>
      </c>
      <c r="E156">
        <v>33</v>
      </c>
      <c r="F156" t="s">
        <v>19</v>
      </c>
      <c r="G156" t="s">
        <v>60</v>
      </c>
      <c r="H156" t="s">
        <v>54</v>
      </c>
      <c r="I156" s="1">
        <v>45326</v>
      </c>
      <c r="J156" s="1">
        <v>45336</v>
      </c>
      <c r="K156" s="1">
        <v>45342</v>
      </c>
      <c r="L156">
        <v>3</v>
      </c>
      <c r="M156">
        <v>8</v>
      </c>
      <c r="N156" t="s">
        <v>45</v>
      </c>
      <c r="O156">
        <v>447140</v>
      </c>
      <c r="U156">
        <f>Table1[[#This Row],[Interview_Date]]-Table1[[#This Row],[Application_Date]]</f>
        <v>10</v>
      </c>
      <c r="V156">
        <f>IF(OR(Table1[[#This Row],[Offer_Date]]="",Table1[[#This Row],[Interview_Date]]=""),"",Table1[[#This Row],[Offer_Date]]-Table1[[#This Row],[Interview_Date]])</f>
        <v>6</v>
      </c>
    </row>
    <row r="157" spans="1:22" x14ac:dyDescent="0.3">
      <c r="A157" t="s">
        <v>212</v>
      </c>
      <c r="B157" t="s">
        <v>47</v>
      </c>
      <c r="C157" t="s">
        <v>69</v>
      </c>
      <c r="D157" t="s">
        <v>18</v>
      </c>
      <c r="E157">
        <v>43</v>
      </c>
      <c r="F157" t="s">
        <v>56</v>
      </c>
      <c r="G157" t="s">
        <v>20</v>
      </c>
      <c r="H157" t="s">
        <v>51</v>
      </c>
      <c r="I157" s="1">
        <v>44537</v>
      </c>
      <c r="J157" s="1">
        <v>44546</v>
      </c>
      <c r="L157">
        <v>5</v>
      </c>
      <c r="M157">
        <v>8</v>
      </c>
      <c r="N157" t="s">
        <v>45</v>
      </c>
      <c r="O157">
        <v>456008</v>
      </c>
      <c r="U157">
        <f>Table1[[#This Row],[Interview_Date]]-Table1[[#This Row],[Application_Date]]</f>
        <v>9</v>
      </c>
      <c r="V157" t="str">
        <f>IF(OR(Table1[[#This Row],[Offer_Date]]="",Table1[[#This Row],[Interview_Date]]=""),"",Table1[[#This Row],[Offer_Date]]-Table1[[#This Row],[Interview_Date]])</f>
        <v/>
      </c>
    </row>
    <row r="158" spans="1:22" x14ac:dyDescent="0.3">
      <c r="A158" t="s">
        <v>213</v>
      </c>
      <c r="B158" t="s">
        <v>47</v>
      </c>
      <c r="C158" t="s">
        <v>30</v>
      </c>
      <c r="D158" t="s">
        <v>18</v>
      </c>
      <c r="E158">
        <v>40</v>
      </c>
      <c r="F158" t="s">
        <v>19</v>
      </c>
      <c r="G158" t="s">
        <v>27</v>
      </c>
      <c r="H158" t="s">
        <v>36</v>
      </c>
      <c r="I158" s="1">
        <v>44877</v>
      </c>
      <c r="J158" s="1">
        <v>44887</v>
      </c>
      <c r="K158" s="1">
        <v>44892</v>
      </c>
      <c r="L158">
        <v>5</v>
      </c>
      <c r="M158">
        <v>7</v>
      </c>
      <c r="N158" t="s">
        <v>45</v>
      </c>
      <c r="O158">
        <v>886287</v>
      </c>
      <c r="U158">
        <f>Table1[[#This Row],[Interview_Date]]-Table1[[#This Row],[Application_Date]]</f>
        <v>10</v>
      </c>
      <c r="V158">
        <f>IF(OR(Table1[[#This Row],[Offer_Date]]="",Table1[[#This Row],[Interview_Date]]=""),"",Table1[[#This Row],[Offer_Date]]-Table1[[#This Row],[Interview_Date]])</f>
        <v>5</v>
      </c>
    </row>
    <row r="159" spans="1:22" x14ac:dyDescent="0.3">
      <c r="A159" t="s">
        <v>214</v>
      </c>
      <c r="B159" t="s">
        <v>24</v>
      </c>
      <c r="C159" t="s">
        <v>50</v>
      </c>
      <c r="D159" t="s">
        <v>18</v>
      </c>
      <c r="E159">
        <v>30</v>
      </c>
      <c r="F159" t="s">
        <v>31</v>
      </c>
      <c r="G159" t="s">
        <v>60</v>
      </c>
      <c r="H159" t="s">
        <v>36</v>
      </c>
      <c r="I159" s="1">
        <v>44632</v>
      </c>
      <c r="J159" s="1">
        <v>44646</v>
      </c>
      <c r="K159" s="1">
        <v>44650</v>
      </c>
      <c r="L159">
        <v>2</v>
      </c>
      <c r="M159">
        <v>5</v>
      </c>
      <c r="N159" t="s">
        <v>22</v>
      </c>
      <c r="O159">
        <v>1053699</v>
      </c>
      <c r="U159">
        <f>Table1[[#This Row],[Interview_Date]]-Table1[[#This Row],[Application_Date]]</f>
        <v>14</v>
      </c>
      <c r="V159">
        <f>IF(OR(Table1[[#This Row],[Offer_Date]]="",Table1[[#This Row],[Interview_Date]]=""),"",Table1[[#This Row],[Offer_Date]]-Table1[[#This Row],[Interview_Date]])</f>
        <v>4</v>
      </c>
    </row>
    <row r="160" spans="1:22" x14ac:dyDescent="0.3">
      <c r="A160" t="s">
        <v>215</v>
      </c>
      <c r="B160" t="s">
        <v>42</v>
      </c>
      <c r="C160" t="s">
        <v>30</v>
      </c>
      <c r="D160" t="s">
        <v>26</v>
      </c>
      <c r="E160">
        <v>34</v>
      </c>
      <c r="F160" t="s">
        <v>19</v>
      </c>
      <c r="G160" t="s">
        <v>27</v>
      </c>
      <c r="H160" t="s">
        <v>36</v>
      </c>
      <c r="I160" s="1">
        <v>44945</v>
      </c>
      <c r="J160" s="1">
        <v>44952</v>
      </c>
      <c r="L160">
        <v>4</v>
      </c>
      <c r="M160">
        <v>2</v>
      </c>
      <c r="N160" t="s">
        <v>48</v>
      </c>
      <c r="O160">
        <v>643663</v>
      </c>
      <c r="U160">
        <f>Table1[[#This Row],[Interview_Date]]-Table1[[#This Row],[Application_Date]]</f>
        <v>7</v>
      </c>
      <c r="V160" t="str">
        <f>IF(OR(Table1[[#This Row],[Offer_Date]]="",Table1[[#This Row],[Interview_Date]]=""),"",Table1[[#This Row],[Offer_Date]]-Table1[[#This Row],[Interview_Date]])</f>
        <v/>
      </c>
    </row>
    <row r="161" spans="1:22" x14ac:dyDescent="0.3">
      <c r="A161" t="s">
        <v>216</v>
      </c>
      <c r="B161" t="s">
        <v>72</v>
      </c>
      <c r="C161" t="s">
        <v>30</v>
      </c>
      <c r="D161" t="s">
        <v>26</v>
      </c>
      <c r="E161">
        <v>35</v>
      </c>
      <c r="F161" t="s">
        <v>74</v>
      </c>
      <c r="G161" t="s">
        <v>27</v>
      </c>
      <c r="H161" t="s">
        <v>36</v>
      </c>
      <c r="I161" s="1">
        <v>45227</v>
      </c>
      <c r="J161" s="1">
        <v>45241</v>
      </c>
      <c r="L161">
        <v>4</v>
      </c>
      <c r="M161">
        <v>3</v>
      </c>
      <c r="N161" t="s">
        <v>45</v>
      </c>
      <c r="O161">
        <v>974036</v>
      </c>
      <c r="U161">
        <f>Table1[[#This Row],[Interview_Date]]-Table1[[#This Row],[Application_Date]]</f>
        <v>14</v>
      </c>
      <c r="V161" t="str">
        <f>IF(OR(Table1[[#This Row],[Offer_Date]]="",Table1[[#This Row],[Interview_Date]]=""),"",Table1[[#This Row],[Offer_Date]]-Table1[[#This Row],[Interview_Date]])</f>
        <v/>
      </c>
    </row>
    <row r="162" spans="1:22" x14ac:dyDescent="0.3">
      <c r="A162" t="s">
        <v>217</v>
      </c>
      <c r="B162" t="s">
        <v>63</v>
      </c>
      <c r="C162" t="s">
        <v>25</v>
      </c>
      <c r="D162" t="s">
        <v>18</v>
      </c>
      <c r="E162">
        <v>28</v>
      </c>
      <c r="F162" t="s">
        <v>19</v>
      </c>
      <c r="G162" t="s">
        <v>20</v>
      </c>
      <c r="H162" t="s">
        <v>21</v>
      </c>
      <c r="I162" s="1">
        <v>44725</v>
      </c>
      <c r="J162" s="1">
        <v>44740</v>
      </c>
      <c r="K162" s="1">
        <v>44742</v>
      </c>
      <c r="L162">
        <v>5</v>
      </c>
      <c r="M162">
        <v>7</v>
      </c>
      <c r="N162" t="s">
        <v>22</v>
      </c>
      <c r="O162">
        <v>948698</v>
      </c>
      <c r="U162">
        <f>Table1[[#This Row],[Interview_Date]]-Table1[[#This Row],[Application_Date]]</f>
        <v>15</v>
      </c>
      <c r="V162">
        <f>IF(OR(Table1[[#This Row],[Offer_Date]]="",Table1[[#This Row],[Interview_Date]]=""),"",Table1[[#This Row],[Offer_Date]]-Table1[[#This Row],[Interview_Date]])</f>
        <v>2</v>
      </c>
    </row>
    <row r="163" spans="1:22" x14ac:dyDescent="0.3">
      <c r="A163" t="s">
        <v>218</v>
      </c>
      <c r="B163" t="s">
        <v>24</v>
      </c>
      <c r="C163" t="s">
        <v>17</v>
      </c>
      <c r="D163" t="s">
        <v>26</v>
      </c>
      <c r="E163">
        <v>29</v>
      </c>
      <c r="F163" t="s">
        <v>34</v>
      </c>
      <c r="G163" t="s">
        <v>35</v>
      </c>
      <c r="H163" t="s">
        <v>40</v>
      </c>
      <c r="I163" s="1">
        <v>45310</v>
      </c>
      <c r="J163" s="1">
        <v>45314</v>
      </c>
      <c r="K163" s="1">
        <v>45316</v>
      </c>
      <c r="L163">
        <v>4</v>
      </c>
      <c r="M163">
        <v>8</v>
      </c>
      <c r="N163" t="s">
        <v>28</v>
      </c>
      <c r="O163">
        <v>545942</v>
      </c>
      <c r="U163">
        <f>Table1[[#This Row],[Interview_Date]]-Table1[[#This Row],[Application_Date]]</f>
        <v>4</v>
      </c>
      <c r="V163">
        <f>IF(OR(Table1[[#This Row],[Offer_Date]]="",Table1[[#This Row],[Interview_Date]]=""),"",Table1[[#This Row],[Offer_Date]]-Table1[[#This Row],[Interview_Date]])</f>
        <v>2</v>
      </c>
    </row>
    <row r="164" spans="1:22" x14ac:dyDescent="0.3">
      <c r="A164" t="s">
        <v>219</v>
      </c>
      <c r="B164" t="s">
        <v>33</v>
      </c>
      <c r="C164" t="s">
        <v>50</v>
      </c>
      <c r="D164" t="s">
        <v>18</v>
      </c>
      <c r="E164">
        <v>38</v>
      </c>
      <c r="F164" t="s">
        <v>19</v>
      </c>
      <c r="G164" t="s">
        <v>20</v>
      </c>
      <c r="H164" t="s">
        <v>51</v>
      </c>
      <c r="I164" s="1">
        <v>44669</v>
      </c>
      <c r="J164" s="1">
        <v>44676</v>
      </c>
      <c r="K164" s="1">
        <v>44682</v>
      </c>
      <c r="L164">
        <v>5</v>
      </c>
      <c r="M164">
        <v>9</v>
      </c>
      <c r="N164" t="s">
        <v>48</v>
      </c>
      <c r="O164">
        <v>301065</v>
      </c>
      <c r="U164">
        <f>Table1[[#This Row],[Interview_Date]]-Table1[[#This Row],[Application_Date]]</f>
        <v>7</v>
      </c>
      <c r="V164">
        <f>IF(OR(Table1[[#This Row],[Offer_Date]]="",Table1[[#This Row],[Interview_Date]]=""),"",Table1[[#This Row],[Offer_Date]]-Table1[[#This Row],[Interview_Date]])</f>
        <v>6</v>
      </c>
    </row>
    <row r="165" spans="1:22" x14ac:dyDescent="0.3">
      <c r="A165" t="s">
        <v>220</v>
      </c>
      <c r="B165" t="s">
        <v>24</v>
      </c>
      <c r="C165" t="s">
        <v>94</v>
      </c>
      <c r="D165" t="s">
        <v>18</v>
      </c>
      <c r="E165">
        <v>41</v>
      </c>
      <c r="F165" t="s">
        <v>19</v>
      </c>
      <c r="G165" t="s">
        <v>27</v>
      </c>
      <c r="H165" t="s">
        <v>40</v>
      </c>
      <c r="I165" s="1">
        <v>44844</v>
      </c>
      <c r="J165" s="1">
        <v>44853</v>
      </c>
      <c r="K165" s="1">
        <v>44858</v>
      </c>
      <c r="L165">
        <v>1</v>
      </c>
      <c r="M165">
        <v>7</v>
      </c>
      <c r="N165" t="s">
        <v>45</v>
      </c>
      <c r="O165">
        <v>1034598</v>
      </c>
      <c r="U165">
        <f>Table1[[#This Row],[Interview_Date]]-Table1[[#This Row],[Application_Date]]</f>
        <v>9</v>
      </c>
      <c r="V165">
        <f>IF(OR(Table1[[#This Row],[Offer_Date]]="",Table1[[#This Row],[Interview_Date]]=""),"",Table1[[#This Row],[Offer_Date]]-Table1[[#This Row],[Interview_Date]])</f>
        <v>5</v>
      </c>
    </row>
    <row r="166" spans="1:22" x14ac:dyDescent="0.3">
      <c r="A166" t="s">
        <v>221</v>
      </c>
      <c r="B166" t="s">
        <v>42</v>
      </c>
      <c r="C166" t="s">
        <v>30</v>
      </c>
      <c r="D166" t="s">
        <v>18</v>
      </c>
      <c r="E166">
        <v>27</v>
      </c>
      <c r="F166" t="s">
        <v>31</v>
      </c>
      <c r="G166" t="s">
        <v>35</v>
      </c>
      <c r="H166" t="s">
        <v>54</v>
      </c>
      <c r="I166" s="1">
        <v>44209</v>
      </c>
      <c r="J166" s="1">
        <v>44216</v>
      </c>
      <c r="L166">
        <v>2</v>
      </c>
      <c r="M166">
        <v>8</v>
      </c>
      <c r="N166" t="s">
        <v>45</v>
      </c>
      <c r="O166">
        <v>699595</v>
      </c>
      <c r="U166">
        <f>Table1[[#This Row],[Interview_Date]]-Table1[[#This Row],[Application_Date]]</f>
        <v>7</v>
      </c>
      <c r="V166" t="str">
        <f>IF(OR(Table1[[#This Row],[Offer_Date]]="",Table1[[#This Row],[Interview_Date]]=""),"",Table1[[#This Row],[Offer_Date]]-Table1[[#This Row],[Interview_Date]])</f>
        <v/>
      </c>
    </row>
    <row r="167" spans="1:22" x14ac:dyDescent="0.3">
      <c r="A167" t="s">
        <v>222</v>
      </c>
      <c r="B167" t="s">
        <v>33</v>
      </c>
      <c r="C167" t="s">
        <v>17</v>
      </c>
      <c r="D167" t="s">
        <v>18</v>
      </c>
      <c r="E167">
        <v>35</v>
      </c>
      <c r="F167" t="s">
        <v>19</v>
      </c>
      <c r="G167" t="s">
        <v>20</v>
      </c>
      <c r="H167" t="s">
        <v>21</v>
      </c>
      <c r="I167" s="1">
        <v>45298</v>
      </c>
      <c r="J167" s="1">
        <v>45307</v>
      </c>
      <c r="K167" s="1">
        <v>45311</v>
      </c>
      <c r="L167">
        <v>5</v>
      </c>
      <c r="M167">
        <v>8</v>
      </c>
      <c r="N167" t="s">
        <v>45</v>
      </c>
      <c r="O167">
        <v>809772</v>
      </c>
      <c r="U167">
        <f>Table1[[#This Row],[Interview_Date]]-Table1[[#This Row],[Application_Date]]</f>
        <v>9</v>
      </c>
      <c r="V167">
        <f>IF(OR(Table1[[#This Row],[Offer_Date]]="",Table1[[#This Row],[Interview_Date]]=""),"",Table1[[#This Row],[Offer_Date]]-Table1[[#This Row],[Interview_Date]])</f>
        <v>4</v>
      </c>
    </row>
    <row r="168" spans="1:22" x14ac:dyDescent="0.3">
      <c r="A168" t="s">
        <v>223</v>
      </c>
      <c r="B168" t="s">
        <v>33</v>
      </c>
      <c r="C168" t="s">
        <v>66</v>
      </c>
      <c r="D168" t="s">
        <v>18</v>
      </c>
      <c r="E168">
        <v>24</v>
      </c>
      <c r="F168" t="s">
        <v>19</v>
      </c>
      <c r="G168" t="s">
        <v>35</v>
      </c>
      <c r="H168" t="s">
        <v>36</v>
      </c>
      <c r="I168" s="1">
        <v>45001</v>
      </c>
      <c r="J168" s="1">
        <v>45015</v>
      </c>
      <c r="K168" s="1">
        <v>45018</v>
      </c>
      <c r="L168">
        <v>4</v>
      </c>
      <c r="M168">
        <v>6</v>
      </c>
      <c r="N168" t="s">
        <v>28</v>
      </c>
      <c r="O168">
        <v>1188181</v>
      </c>
      <c r="U168">
        <f>Table1[[#This Row],[Interview_Date]]-Table1[[#This Row],[Application_Date]]</f>
        <v>14</v>
      </c>
      <c r="V168">
        <f>IF(OR(Table1[[#This Row],[Offer_Date]]="",Table1[[#This Row],[Interview_Date]]=""),"",Table1[[#This Row],[Offer_Date]]-Table1[[#This Row],[Interview_Date]])</f>
        <v>3</v>
      </c>
    </row>
    <row r="169" spans="1:22" x14ac:dyDescent="0.3">
      <c r="A169" t="s">
        <v>224</v>
      </c>
      <c r="B169" t="s">
        <v>38</v>
      </c>
      <c r="C169" t="s">
        <v>50</v>
      </c>
      <c r="D169" t="s">
        <v>18</v>
      </c>
      <c r="E169">
        <v>31</v>
      </c>
      <c r="F169" t="s">
        <v>31</v>
      </c>
      <c r="G169" t="s">
        <v>20</v>
      </c>
      <c r="H169" t="s">
        <v>21</v>
      </c>
      <c r="I169" s="1">
        <v>44242</v>
      </c>
      <c r="J169" s="1">
        <v>44251</v>
      </c>
      <c r="K169" s="1">
        <v>44255</v>
      </c>
      <c r="L169">
        <v>5</v>
      </c>
      <c r="M169">
        <v>5</v>
      </c>
      <c r="N169" t="s">
        <v>48</v>
      </c>
      <c r="O169">
        <v>571861</v>
      </c>
      <c r="U169">
        <f>Table1[[#This Row],[Interview_Date]]-Table1[[#This Row],[Application_Date]]</f>
        <v>9</v>
      </c>
      <c r="V169">
        <f>IF(OR(Table1[[#This Row],[Offer_Date]]="",Table1[[#This Row],[Interview_Date]]=""),"",Table1[[#This Row],[Offer_Date]]-Table1[[#This Row],[Interview_Date]])</f>
        <v>4</v>
      </c>
    </row>
    <row r="170" spans="1:22" x14ac:dyDescent="0.3">
      <c r="A170" t="s">
        <v>225</v>
      </c>
      <c r="B170" t="s">
        <v>24</v>
      </c>
      <c r="C170" t="s">
        <v>50</v>
      </c>
      <c r="D170" t="s">
        <v>26</v>
      </c>
      <c r="E170">
        <v>22</v>
      </c>
      <c r="F170" t="s">
        <v>74</v>
      </c>
      <c r="G170" t="s">
        <v>44</v>
      </c>
      <c r="H170" t="s">
        <v>51</v>
      </c>
      <c r="I170" s="1">
        <v>44377</v>
      </c>
      <c r="J170" s="1">
        <v>44389</v>
      </c>
      <c r="K170" s="1">
        <v>44391</v>
      </c>
      <c r="L170">
        <v>3</v>
      </c>
      <c r="M170">
        <v>7</v>
      </c>
      <c r="N170" t="s">
        <v>22</v>
      </c>
      <c r="O170">
        <v>340792</v>
      </c>
      <c r="U170">
        <f>Table1[[#This Row],[Interview_Date]]-Table1[[#This Row],[Application_Date]]</f>
        <v>12</v>
      </c>
      <c r="V170">
        <f>IF(OR(Table1[[#This Row],[Offer_Date]]="",Table1[[#This Row],[Interview_Date]]=""),"",Table1[[#This Row],[Offer_Date]]-Table1[[#This Row],[Interview_Date]])</f>
        <v>2</v>
      </c>
    </row>
    <row r="171" spans="1:22" x14ac:dyDescent="0.3">
      <c r="A171" t="s">
        <v>226</v>
      </c>
      <c r="B171" t="s">
        <v>24</v>
      </c>
      <c r="C171" t="s">
        <v>30</v>
      </c>
      <c r="D171" t="s">
        <v>18</v>
      </c>
      <c r="E171">
        <v>43</v>
      </c>
      <c r="F171" t="s">
        <v>74</v>
      </c>
      <c r="G171" t="s">
        <v>44</v>
      </c>
      <c r="H171" t="s">
        <v>54</v>
      </c>
      <c r="I171" s="1">
        <v>44808</v>
      </c>
      <c r="J171" s="1">
        <v>44812</v>
      </c>
      <c r="K171" s="1">
        <v>44816</v>
      </c>
      <c r="L171">
        <v>2</v>
      </c>
      <c r="M171">
        <v>6</v>
      </c>
      <c r="N171" t="s">
        <v>48</v>
      </c>
      <c r="O171">
        <v>983334</v>
      </c>
      <c r="U171">
        <f>Table1[[#This Row],[Interview_Date]]-Table1[[#This Row],[Application_Date]]</f>
        <v>4</v>
      </c>
      <c r="V171">
        <f>IF(OR(Table1[[#This Row],[Offer_Date]]="",Table1[[#This Row],[Interview_Date]]=""),"",Table1[[#This Row],[Offer_Date]]-Table1[[#This Row],[Interview_Date]])</f>
        <v>4</v>
      </c>
    </row>
    <row r="172" spans="1:22" x14ac:dyDescent="0.3">
      <c r="A172" t="s">
        <v>227</v>
      </c>
      <c r="B172" t="s">
        <v>33</v>
      </c>
      <c r="C172" t="s">
        <v>43</v>
      </c>
      <c r="D172" t="s">
        <v>26</v>
      </c>
      <c r="E172">
        <v>37</v>
      </c>
      <c r="F172" t="s">
        <v>34</v>
      </c>
      <c r="G172" t="s">
        <v>27</v>
      </c>
      <c r="H172" t="s">
        <v>40</v>
      </c>
      <c r="I172" s="1">
        <v>45349</v>
      </c>
      <c r="J172" s="1">
        <v>45353</v>
      </c>
      <c r="K172" s="1">
        <v>45360</v>
      </c>
      <c r="L172">
        <v>5</v>
      </c>
      <c r="M172">
        <v>2</v>
      </c>
      <c r="N172" t="s">
        <v>45</v>
      </c>
      <c r="O172">
        <v>941912</v>
      </c>
      <c r="U172">
        <f>Table1[[#This Row],[Interview_Date]]-Table1[[#This Row],[Application_Date]]</f>
        <v>4</v>
      </c>
      <c r="V172">
        <f>IF(OR(Table1[[#This Row],[Offer_Date]]="",Table1[[#This Row],[Interview_Date]]=""),"",Table1[[#This Row],[Offer_Date]]-Table1[[#This Row],[Interview_Date]])</f>
        <v>7</v>
      </c>
    </row>
    <row r="173" spans="1:22" x14ac:dyDescent="0.3">
      <c r="A173" t="s">
        <v>228</v>
      </c>
      <c r="B173" t="s">
        <v>58</v>
      </c>
      <c r="C173" t="s">
        <v>30</v>
      </c>
      <c r="D173" t="s">
        <v>26</v>
      </c>
      <c r="E173">
        <v>41</v>
      </c>
      <c r="F173" t="s">
        <v>74</v>
      </c>
      <c r="G173" t="s">
        <v>44</v>
      </c>
      <c r="H173" t="s">
        <v>51</v>
      </c>
      <c r="I173" s="1">
        <v>44441</v>
      </c>
      <c r="J173" s="1">
        <v>44444</v>
      </c>
      <c r="K173" s="1">
        <v>44449</v>
      </c>
      <c r="L173">
        <v>2</v>
      </c>
      <c r="M173">
        <v>2</v>
      </c>
      <c r="N173" t="s">
        <v>48</v>
      </c>
      <c r="O173">
        <v>303495</v>
      </c>
      <c r="U173">
        <f>Table1[[#This Row],[Interview_Date]]-Table1[[#This Row],[Application_Date]]</f>
        <v>3</v>
      </c>
      <c r="V173">
        <f>IF(OR(Table1[[#This Row],[Offer_Date]]="",Table1[[#This Row],[Interview_Date]]=""),"",Table1[[#This Row],[Offer_Date]]-Table1[[#This Row],[Interview_Date]])</f>
        <v>5</v>
      </c>
    </row>
    <row r="174" spans="1:22" x14ac:dyDescent="0.3">
      <c r="A174" t="s">
        <v>229</v>
      </c>
      <c r="B174" t="s">
        <v>42</v>
      </c>
      <c r="C174" t="s">
        <v>53</v>
      </c>
      <c r="D174" t="s">
        <v>18</v>
      </c>
      <c r="E174">
        <v>31</v>
      </c>
      <c r="F174" t="s">
        <v>31</v>
      </c>
      <c r="G174" t="s">
        <v>44</v>
      </c>
      <c r="H174" t="s">
        <v>21</v>
      </c>
      <c r="I174" s="1">
        <v>44248</v>
      </c>
      <c r="J174" s="1">
        <v>44260</v>
      </c>
      <c r="K174" s="1">
        <v>44266</v>
      </c>
      <c r="L174">
        <v>2</v>
      </c>
      <c r="M174">
        <v>4</v>
      </c>
      <c r="N174" t="s">
        <v>28</v>
      </c>
      <c r="O174">
        <v>366114</v>
      </c>
      <c r="U174">
        <f>Table1[[#This Row],[Interview_Date]]-Table1[[#This Row],[Application_Date]]</f>
        <v>12</v>
      </c>
      <c r="V174">
        <f>IF(OR(Table1[[#This Row],[Offer_Date]]="",Table1[[#This Row],[Interview_Date]]=""),"",Table1[[#This Row],[Offer_Date]]-Table1[[#This Row],[Interview_Date]])</f>
        <v>6</v>
      </c>
    </row>
    <row r="175" spans="1:22" x14ac:dyDescent="0.3">
      <c r="A175" t="s">
        <v>230</v>
      </c>
      <c r="B175" t="s">
        <v>24</v>
      </c>
      <c r="C175" t="s">
        <v>17</v>
      </c>
      <c r="D175" t="s">
        <v>26</v>
      </c>
      <c r="E175">
        <v>35</v>
      </c>
      <c r="F175" t="s">
        <v>56</v>
      </c>
      <c r="G175" t="s">
        <v>35</v>
      </c>
      <c r="H175" t="s">
        <v>40</v>
      </c>
      <c r="I175" s="1">
        <v>44506</v>
      </c>
      <c r="J175" s="1">
        <v>44519</v>
      </c>
      <c r="L175">
        <v>4</v>
      </c>
      <c r="M175">
        <v>7</v>
      </c>
      <c r="N175" t="s">
        <v>22</v>
      </c>
      <c r="O175">
        <v>358771</v>
      </c>
      <c r="U175">
        <f>Table1[[#This Row],[Interview_Date]]-Table1[[#This Row],[Application_Date]]</f>
        <v>13</v>
      </c>
      <c r="V175" t="str">
        <f>IF(OR(Table1[[#This Row],[Offer_Date]]="",Table1[[#This Row],[Interview_Date]]=""),"",Table1[[#This Row],[Offer_Date]]-Table1[[#This Row],[Interview_Date]])</f>
        <v/>
      </c>
    </row>
    <row r="176" spans="1:22" x14ac:dyDescent="0.3">
      <c r="A176" t="s">
        <v>231</v>
      </c>
      <c r="B176" t="s">
        <v>63</v>
      </c>
      <c r="C176" t="s">
        <v>94</v>
      </c>
      <c r="D176" t="s">
        <v>26</v>
      </c>
      <c r="E176">
        <v>36</v>
      </c>
      <c r="F176" t="s">
        <v>34</v>
      </c>
      <c r="G176" t="s">
        <v>60</v>
      </c>
      <c r="H176" t="s">
        <v>40</v>
      </c>
      <c r="I176" s="1">
        <v>45086</v>
      </c>
      <c r="J176" s="1">
        <v>45101</v>
      </c>
      <c r="L176">
        <v>5</v>
      </c>
      <c r="M176">
        <v>3</v>
      </c>
      <c r="N176" t="s">
        <v>22</v>
      </c>
      <c r="O176">
        <v>709679</v>
      </c>
      <c r="U176">
        <f>Table1[[#This Row],[Interview_Date]]-Table1[[#This Row],[Application_Date]]</f>
        <v>15</v>
      </c>
      <c r="V176" t="str">
        <f>IF(OR(Table1[[#This Row],[Offer_Date]]="",Table1[[#This Row],[Interview_Date]]=""),"",Table1[[#This Row],[Offer_Date]]-Table1[[#This Row],[Interview_Date]])</f>
        <v/>
      </c>
    </row>
    <row r="177" spans="1:22" x14ac:dyDescent="0.3">
      <c r="A177" t="s">
        <v>232</v>
      </c>
      <c r="B177" t="s">
        <v>42</v>
      </c>
      <c r="C177" t="s">
        <v>43</v>
      </c>
      <c r="D177" t="s">
        <v>26</v>
      </c>
      <c r="E177">
        <v>37</v>
      </c>
      <c r="F177" t="s">
        <v>56</v>
      </c>
      <c r="G177" t="s">
        <v>60</v>
      </c>
      <c r="H177" t="s">
        <v>36</v>
      </c>
      <c r="I177" s="1">
        <v>44426</v>
      </c>
      <c r="J177" s="1">
        <v>44437</v>
      </c>
      <c r="L177">
        <v>3</v>
      </c>
      <c r="M177">
        <v>8</v>
      </c>
      <c r="N177" t="s">
        <v>45</v>
      </c>
      <c r="O177">
        <v>718278</v>
      </c>
      <c r="U177">
        <f>Table1[[#This Row],[Interview_Date]]-Table1[[#This Row],[Application_Date]]</f>
        <v>11</v>
      </c>
      <c r="V177" t="str">
        <f>IF(OR(Table1[[#This Row],[Offer_Date]]="",Table1[[#This Row],[Interview_Date]]=""),"",Table1[[#This Row],[Offer_Date]]-Table1[[#This Row],[Interview_Date]])</f>
        <v/>
      </c>
    </row>
    <row r="178" spans="1:22" x14ac:dyDescent="0.3">
      <c r="A178" t="s">
        <v>233</v>
      </c>
      <c r="B178" t="s">
        <v>38</v>
      </c>
      <c r="C178" t="s">
        <v>69</v>
      </c>
      <c r="D178" t="s">
        <v>26</v>
      </c>
      <c r="E178">
        <v>37</v>
      </c>
      <c r="F178" t="s">
        <v>34</v>
      </c>
      <c r="G178" t="s">
        <v>60</v>
      </c>
      <c r="H178" t="s">
        <v>54</v>
      </c>
      <c r="I178" s="1">
        <v>44441</v>
      </c>
      <c r="J178" s="1">
        <v>44453</v>
      </c>
      <c r="L178">
        <v>2</v>
      </c>
      <c r="M178">
        <v>10</v>
      </c>
      <c r="N178" t="s">
        <v>22</v>
      </c>
      <c r="O178">
        <v>597273</v>
      </c>
      <c r="U178">
        <f>Table1[[#This Row],[Interview_Date]]-Table1[[#This Row],[Application_Date]]</f>
        <v>12</v>
      </c>
      <c r="V178" t="str">
        <f>IF(OR(Table1[[#This Row],[Offer_Date]]="",Table1[[#This Row],[Interview_Date]]=""),"",Table1[[#This Row],[Offer_Date]]-Table1[[#This Row],[Interview_Date]])</f>
        <v/>
      </c>
    </row>
    <row r="179" spans="1:22" x14ac:dyDescent="0.3">
      <c r="A179" t="s">
        <v>234</v>
      </c>
      <c r="B179" t="s">
        <v>16</v>
      </c>
      <c r="C179" t="s">
        <v>50</v>
      </c>
      <c r="D179" t="s">
        <v>18</v>
      </c>
      <c r="E179">
        <v>24</v>
      </c>
      <c r="F179" t="s">
        <v>34</v>
      </c>
      <c r="G179" t="s">
        <v>44</v>
      </c>
      <c r="H179" t="s">
        <v>21</v>
      </c>
      <c r="I179" s="1">
        <v>44878</v>
      </c>
      <c r="J179" s="1">
        <v>44881</v>
      </c>
      <c r="K179" s="1">
        <v>44886</v>
      </c>
      <c r="L179">
        <v>1</v>
      </c>
      <c r="M179">
        <v>7</v>
      </c>
      <c r="N179" t="s">
        <v>22</v>
      </c>
      <c r="O179">
        <v>743403</v>
      </c>
      <c r="U179">
        <f>Table1[[#This Row],[Interview_Date]]-Table1[[#This Row],[Application_Date]]</f>
        <v>3</v>
      </c>
      <c r="V179">
        <f>IF(OR(Table1[[#This Row],[Offer_Date]]="",Table1[[#This Row],[Interview_Date]]=""),"",Table1[[#This Row],[Offer_Date]]-Table1[[#This Row],[Interview_Date]])</f>
        <v>5</v>
      </c>
    </row>
    <row r="180" spans="1:22" x14ac:dyDescent="0.3">
      <c r="A180" t="s">
        <v>235</v>
      </c>
      <c r="B180" t="s">
        <v>65</v>
      </c>
      <c r="C180" t="s">
        <v>43</v>
      </c>
      <c r="D180" t="s">
        <v>18</v>
      </c>
      <c r="E180">
        <v>30</v>
      </c>
      <c r="F180" t="s">
        <v>74</v>
      </c>
      <c r="G180" t="s">
        <v>27</v>
      </c>
      <c r="H180" t="s">
        <v>36</v>
      </c>
      <c r="I180" s="1">
        <v>45369</v>
      </c>
      <c r="J180" s="1">
        <v>45374</v>
      </c>
      <c r="K180" s="1">
        <v>45379</v>
      </c>
      <c r="L180">
        <v>1</v>
      </c>
      <c r="M180">
        <v>10</v>
      </c>
      <c r="N180" t="s">
        <v>48</v>
      </c>
      <c r="O180">
        <v>1189919</v>
      </c>
      <c r="U180">
        <f>Table1[[#This Row],[Interview_Date]]-Table1[[#This Row],[Application_Date]]</f>
        <v>5</v>
      </c>
      <c r="V180">
        <f>IF(OR(Table1[[#This Row],[Offer_Date]]="",Table1[[#This Row],[Interview_Date]]=""),"",Table1[[#This Row],[Offer_Date]]-Table1[[#This Row],[Interview_Date]])</f>
        <v>5</v>
      </c>
    </row>
    <row r="181" spans="1:22" x14ac:dyDescent="0.3">
      <c r="A181" t="s">
        <v>236</v>
      </c>
      <c r="B181" t="s">
        <v>72</v>
      </c>
      <c r="C181" t="s">
        <v>59</v>
      </c>
      <c r="D181" t="s">
        <v>18</v>
      </c>
      <c r="E181">
        <v>42</v>
      </c>
      <c r="F181" t="s">
        <v>74</v>
      </c>
      <c r="G181" t="s">
        <v>44</v>
      </c>
      <c r="H181" t="s">
        <v>51</v>
      </c>
      <c r="I181" s="1">
        <v>44548</v>
      </c>
      <c r="J181" s="1">
        <v>44557</v>
      </c>
      <c r="K181" s="1">
        <v>44562</v>
      </c>
      <c r="L181">
        <v>3</v>
      </c>
      <c r="M181">
        <v>2</v>
      </c>
      <c r="N181" t="s">
        <v>48</v>
      </c>
      <c r="O181">
        <v>417928</v>
      </c>
      <c r="U181">
        <f>Table1[[#This Row],[Interview_Date]]-Table1[[#This Row],[Application_Date]]</f>
        <v>9</v>
      </c>
      <c r="V181">
        <f>IF(OR(Table1[[#This Row],[Offer_Date]]="",Table1[[#This Row],[Interview_Date]]=""),"",Table1[[#This Row],[Offer_Date]]-Table1[[#This Row],[Interview_Date]])</f>
        <v>5</v>
      </c>
    </row>
    <row r="182" spans="1:22" x14ac:dyDescent="0.3">
      <c r="A182" t="s">
        <v>237</v>
      </c>
      <c r="B182" t="s">
        <v>33</v>
      </c>
      <c r="C182" t="s">
        <v>69</v>
      </c>
      <c r="D182" t="s">
        <v>18</v>
      </c>
      <c r="E182">
        <v>30</v>
      </c>
      <c r="F182" t="s">
        <v>39</v>
      </c>
      <c r="G182" t="s">
        <v>27</v>
      </c>
      <c r="H182" t="s">
        <v>54</v>
      </c>
      <c r="I182" s="1">
        <v>44788</v>
      </c>
      <c r="J182" s="1">
        <v>44798</v>
      </c>
      <c r="L182">
        <v>3</v>
      </c>
      <c r="M182">
        <v>10</v>
      </c>
      <c r="N182" t="s">
        <v>48</v>
      </c>
      <c r="O182">
        <v>947006</v>
      </c>
      <c r="U182">
        <f>Table1[[#This Row],[Interview_Date]]-Table1[[#This Row],[Application_Date]]</f>
        <v>10</v>
      </c>
      <c r="V182" t="str">
        <f>IF(OR(Table1[[#This Row],[Offer_Date]]="",Table1[[#This Row],[Interview_Date]]=""),"",Table1[[#This Row],[Offer_Date]]-Table1[[#This Row],[Interview_Date]])</f>
        <v/>
      </c>
    </row>
    <row r="183" spans="1:22" x14ac:dyDescent="0.3">
      <c r="A183" t="s">
        <v>238</v>
      </c>
      <c r="B183" t="s">
        <v>33</v>
      </c>
      <c r="C183" t="s">
        <v>43</v>
      </c>
      <c r="D183" t="s">
        <v>26</v>
      </c>
      <c r="E183">
        <v>30</v>
      </c>
      <c r="F183" t="s">
        <v>31</v>
      </c>
      <c r="G183" t="s">
        <v>20</v>
      </c>
      <c r="H183" t="s">
        <v>54</v>
      </c>
      <c r="I183" s="1">
        <v>45232</v>
      </c>
      <c r="J183" s="1">
        <v>45241</v>
      </c>
      <c r="L183">
        <v>3</v>
      </c>
      <c r="M183">
        <v>4</v>
      </c>
      <c r="N183" t="s">
        <v>22</v>
      </c>
      <c r="O183">
        <v>327775</v>
      </c>
      <c r="U183">
        <f>Table1[[#This Row],[Interview_Date]]-Table1[[#This Row],[Application_Date]]</f>
        <v>9</v>
      </c>
      <c r="V183" t="str">
        <f>IF(OR(Table1[[#This Row],[Offer_Date]]="",Table1[[#This Row],[Interview_Date]]=""),"",Table1[[#This Row],[Offer_Date]]-Table1[[#This Row],[Interview_Date]])</f>
        <v/>
      </c>
    </row>
    <row r="184" spans="1:22" x14ac:dyDescent="0.3">
      <c r="A184" t="s">
        <v>239</v>
      </c>
      <c r="B184" t="s">
        <v>72</v>
      </c>
      <c r="C184" t="s">
        <v>17</v>
      </c>
      <c r="D184" t="s">
        <v>18</v>
      </c>
      <c r="E184">
        <v>26</v>
      </c>
      <c r="F184" t="s">
        <v>74</v>
      </c>
      <c r="G184" t="s">
        <v>20</v>
      </c>
      <c r="H184" t="s">
        <v>21</v>
      </c>
      <c r="I184" s="1">
        <v>44778</v>
      </c>
      <c r="J184" s="1">
        <v>44789</v>
      </c>
      <c r="L184">
        <v>5</v>
      </c>
      <c r="M184">
        <v>5</v>
      </c>
      <c r="N184" t="s">
        <v>28</v>
      </c>
      <c r="O184">
        <v>871287</v>
      </c>
      <c r="U184">
        <f>Table1[[#This Row],[Interview_Date]]-Table1[[#This Row],[Application_Date]]</f>
        <v>11</v>
      </c>
      <c r="V184" t="str">
        <f>IF(OR(Table1[[#This Row],[Offer_Date]]="",Table1[[#This Row],[Interview_Date]]=""),"",Table1[[#This Row],[Offer_Date]]-Table1[[#This Row],[Interview_Date]])</f>
        <v/>
      </c>
    </row>
    <row r="185" spans="1:22" x14ac:dyDescent="0.3">
      <c r="A185" t="s">
        <v>240</v>
      </c>
      <c r="B185" t="s">
        <v>24</v>
      </c>
      <c r="C185" t="s">
        <v>53</v>
      </c>
      <c r="D185" t="s">
        <v>18</v>
      </c>
      <c r="E185">
        <v>28</v>
      </c>
      <c r="F185" t="s">
        <v>74</v>
      </c>
      <c r="G185" t="s">
        <v>35</v>
      </c>
      <c r="H185" t="s">
        <v>54</v>
      </c>
      <c r="I185" s="1">
        <v>44783</v>
      </c>
      <c r="J185" s="1">
        <v>44794</v>
      </c>
      <c r="K185" s="1">
        <v>44800</v>
      </c>
      <c r="L185">
        <v>4</v>
      </c>
      <c r="M185">
        <v>4</v>
      </c>
      <c r="N185" t="s">
        <v>22</v>
      </c>
      <c r="O185">
        <v>421281</v>
      </c>
      <c r="U185">
        <f>Table1[[#This Row],[Interview_Date]]-Table1[[#This Row],[Application_Date]]</f>
        <v>11</v>
      </c>
      <c r="V185">
        <f>IF(OR(Table1[[#This Row],[Offer_Date]]="",Table1[[#This Row],[Interview_Date]]=""),"",Table1[[#This Row],[Offer_Date]]-Table1[[#This Row],[Interview_Date]])</f>
        <v>6</v>
      </c>
    </row>
    <row r="186" spans="1:22" x14ac:dyDescent="0.3">
      <c r="A186" t="s">
        <v>241</v>
      </c>
      <c r="B186" t="s">
        <v>33</v>
      </c>
      <c r="C186" t="s">
        <v>53</v>
      </c>
      <c r="D186" t="s">
        <v>18</v>
      </c>
      <c r="E186">
        <v>33</v>
      </c>
      <c r="F186" t="s">
        <v>56</v>
      </c>
      <c r="G186" t="s">
        <v>60</v>
      </c>
      <c r="H186" t="s">
        <v>36</v>
      </c>
      <c r="I186" s="1">
        <v>45012</v>
      </c>
      <c r="J186" s="1">
        <v>45026</v>
      </c>
      <c r="L186">
        <v>2</v>
      </c>
      <c r="M186">
        <v>9</v>
      </c>
      <c r="N186" t="s">
        <v>48</v>
      </c>
      <c r="O186">
        <v>965744</v>
      </c>
      <c r="U186">
        <f>Table1[[#This Row],[Interview_Date]]-Table1[[#This Row],[Application_Date]]</f>
        <v>14</v>
      </c>
      <c r="V186" t="str">
        <f>IF(OR(Table1[[#This Row],[Offer_Date]]="",Table1[[#This Row],[Interview_Date]]=""),"",Table1[[#This Row],[Offer_Date]]-Table1[[#This Row],[Interview_Date]])</f>
        <v/>
      </c>
    </row>
    <row r="187" spans="1:22" x14ac:dyDescent="0.3">
      <c r="A187" t="s">
        <v>242</v>
      </c>
      <c r="B187" t="s">
        <v>72</v>
      </c>
      <c r="C187" t="s">
        <v>59</v>
      </c>
      <c r="D187" t="s">
        <v>26</v>
      </c>
      <c r="E187">
        <v>37</v>
      </c>
      <c r="F187" t="s">
        <v>19</v>
      </c>
      <c r="G187" t="s">
        <v>27</v>
      </c>
      <c r="H187" t="s">
        <v>36</v>
      </c>
      <c r="I187" s="1">
        <v>44259</v>
      </c>
      <c r="J187" s="1">
        <v>44265</v>
      </c>
      <c r="K187" s="1">
        <v>44269</v>
      </c>
      <c r="L187">
        <v>3</v>
      </c>
      <c r="M187">
        <v>8</v>
      </c>
      <c r="N187" t="s">
        <v>45</v>
      </c>
      <c r="O187">
        <v>948571</v>
      </c>
      <c r="U187">
        <f>Table1[[#This Row],[Interview_Date]]-Table1[[#This Row],[Application_Date]]</f>
        <v>6</v>
      </c>
      <c r="V187">
        <f>IF(OR(Table1[[#This Row],[Offer_Date]]="",Table1[[#This Row],[Interview_Date]]=""),"",Table1[[#This Row],[Offer_Date]]-Table1[[#This Row],[Interview_Date]])</f>
        <v>4</v>
      </c>
    </row>
    <row r="188" spans="1:22" x14ac:dyDescent="0.3">
      <c r="A188" t="s">
        <v>243</v>
      </c>
      <c r="B188" t="s">
        <v>16</v>
      </c>
      <c r="C188" t="s">
        <v>43</v>
      </c>
      <c r="D188" t="s">
        <v>26</v>
      </c>
      <c r="E188">
        <v>41</v>
      </c>
      <c r="F188" t="s">
        <v>39</v>
      </c>
      <c r="G188" t="s">
        <v>27</v>
      </c>
      <c r="H188" t="s">
        <v>21</v>
      </c>
      <c r="I188" s="1">
        <v>44733</v>
      </c>
      <c r="J188" s="1">
        <v>44746</v>
      </c>
      <c r="L188">
        <v>5</v>
      </c>
      <c r="M188">
        <v>7</v>
      </c>
      <c r="N188" t="s">
        <v>45</v>
      </c>
      <c r="O188">
        <v>974792</v>
      </c>
      <c r="U188">
        <f>Table1[[#This Row],[Interview_Date]]-Table1[[#This Row],[Application_Date]]</f>
        <v>13</v>
      </c>
      <c r="V188" t="str">
        <f>IF(OR(Table1[[#This Row],[Offer_Date]]="",Table1[[#This Row],[Interview_Date]]=""),"",Table1[[#This Row],[Offer_Date]]-Table1[[#This Row],[Interview_Date]])</f>
        <v/>
      </c>
    </row>
    <row r="189" spans="1:22" x14ac:dyDescent="0.3">
      <c r="A189" t="s">
        <v>244</v>
      </c>
      <c r="B189" t="s">
        <v>33</v>
      </c>
      <c r="C189" t="s">
        <v>66</v>
      </c>
      <c r="D189" t="s">
        <v>18</v>
      </c>
      <c r="E189">
        <v>29</v>
      </c>
      <c r="F189" t="s">
        <v>39</v>
      </c>
      <c r="G189" t="s">
        <v>44</v>
      </c>
      <c r="H189" t="s">
        <v>51</v>
      </c>
      <c r="I189" s="1">
        <v>45165</v>
      </c>
      <c r="J189" s="1">
        <v>45180</v>
      </c>
      <c r="K189" s="1">
        <v>45182</v>
      </c>
      <c r="L189">
        <v>3</v>
      </c>
      <c r="M189">
        <v>3</v>
      </c>
      <c r="N189" t="s">
        <v>45</v>
      </c>
      <c r="O189">
        <v>1162239</v>
      </c>
      <c r="U189">
        <f>Table1[[#This Row],[Interview_Date]]-Table1[[#This Row],[Application_Date]]</f>
        <v>15</v>
      </c>
      <c r="V189">
        <f>IF(OR(Table1[[#This Row],[Offer_Date]]="",Table1[[#This Row],[Interview_Date]]=""),"",Table1[[#This Row],[Offer_Date]]-Table1[[#This Row],[Interview_Date]])</f>
        <v>2</v>
      </c>
    </row>
    <row r="190" spans="1:22" x14ac:dyDescent="0.3">
      <c r="A190" t="s">
        <v>245</v>
      </c>
      <c r="B190" t="s">
        <v>24</v>
      </c>
      <c r="C190" t="s">
        <v>59</v>
      </c>
      <c r="D190" t="s">
        <v>18</v>
      </c>
      <c r="E190">
        <v>42</v>
      </c>
      <c r="F190" t="s">
        <v>56</v>
      </c>
      <c r="G190" t="s">
        <v>27</v>
      </c>
      <c r="H190" t="s">
        <v>54</v>
      </c>
      <c r="I190" s="1">
        <v>45134</v>
      </c>
      <c r="J190" s="1">
        <v>45146</v>
      </c>
      <c r="K190" s="1">
        <v>45153</v>
      </c>
      <c r="L190">
        <v>5</v>
      </c>
      <c r="M190">
        <v>8</v>
      </c>
      <c r="N190" t="s">
        <v>28</v>
      </c>
      <c r="O190">
        <v>986750</v>
      </c>
      <c r="U190">
        <f>Table1[[#This Row],[Interview_Date]]-Table1[[#This Row],[Application_Date]]</f>
        <v>12</v>
      </c>
      <c r="V190">
        <f>IF(OR(Table1[[#This Row],[Offer_Date]]="",Table1[[#This Row],[Interview_Date]]=""),"",Table1[[#This Row],[Offer_Date]]-Table1[[#This Row],[Interview_Date]])</f>
        <v>7</v>
      </c>
    </row>
    <row r="191" spans="1:22" x14ac:dyDescent="0.3">
      <c r="A191" t="s">
        <v>246</v>
      </c>
      <c r="B191" t="s">
        <v>33</v>
      </c>
      <c r="C191" t="s">
        <v>17</v>
      </c>
      <c r="D191" t="s">
        <v>26</v>
      </c>
      <c r="E191">
        <v>21</v>
      </c>
      <c r="F191" t="s">
        <v>39</v>
      </c>
      <c r="G191" t="s">
        <v>60</v>
      </c>
      <c r="H191" t="s">
        <v>21</v>
      </c>
      <c r="I191" s="1">
        <v>44448</v>
      </c>
      <c r="J191" s="1">
        <v>44458</v>
      </c>
      <c r="L191">
        <v>1</v>
      </c>
      <c r="M191">
        <v>2</v>
      </c>
      <c r="N191" t="s">
        <v>22</v>
      </c>
      <c r="O191">
        <v>568725</v>
      </c>
      <c r="U191">
        <f>Table1[[#This Row],[Interview_Date]]-Table1[[#This Row],[Application_Date]]</f>
        <v>10</v>
      </c>
      <c r="V191" t="str">
        <f>IF(OR(Table1[[#This Row],[Offer_Date]]="",Table1[[#This Row],[Interview_Date]]=""),"",Table1[[#This Row],[Offer_Date]]-Table1[[#This Row],[Interview_Date]])</f>
        <v/>
      </c>
    </row>
    <row r="192" spans="1:22" x14ac:dyDescent="0.3">
      <c r="A192" t="s">
        <v>247</v>
      </c>
      <c r="B192" t="s">
        <v>33</v>
      </c>
      <c r="C192" t="s">
        <v>43</v>
      </c>
      <c r="D192" t="s">
        <v>18</v>
      </c>
      <c r="E192">
        <v>29</v>
      </c>
      <c r="F192" t="s">
        <v>34</v>
      </c>
      <c r="G192" t="s">
        <v>27</v>
      </c>
      <c r="H192" t="s">
        <v>54</v>
      </c>
      <c r="I192" s="1">
        <v>44516</v>
      </c>
      <c r="J192" s="1">
        <v>44523</v>
      </c>
      <c r="L192">
        <v>2</v>
      </c>
      <c r="M192">
        <v>8</v>
      </c>
      <c r="N192" t="s">
        <v>45</v>
      </c>
      <c r="O192">
        <v>1034917</v>
      </c>
      <c r="U192">
        <f>Table1[[#This Row],[Interview_Date]]-Table1[[#This Row],[Application_Date]]</f>
        <v>7</v>
      </c>
      <c r="V192" t="str">
        <f>IF(OR(Table1[[#This Row],[Offer_Date]]="",Table1[[#This Row],[Interview_Date]]=""),"",Table1[[#This Row],[Offer_Date]]-Table1[[#This Row],[Interview_Date]])</f>
        <v/>
      </c>
    </row>
    <row r="193" spans="1:22" x14ac:dyDescent="0.3">
      <c r="A193" t="s">
        <v>248</v>
      </c>
      <c r="B193" t="s">
        <v>63</v>
      </c>
      <c r="C193" t="s">
        <v>94</v>
      </c>
      <c r="D193" t="s">
        <v>26</v>
      </c>
      <c r="E193">
        <v>21</v>
      </c>
      <c r="F193" t="s">
        <v>56</v>
      </c>
      <c r="G193" t="s">
        <v>20</v>
      </c>
      <c r="H193" t="s">
        <v>36</v>
      </c>
      <c r="I193" s="1">
        <v>44455</v>
      </c>
      <c r="J193" s="1">
        <v>44469</v>
      </c>
      <c r="L193">
        <v>1</v>
      </c>
      <c r="M193">
        <v>10</v>
      </c>
      <c r="N193" t="s">
        <v>45</v>
      </c>
      <c r="O193">
        <v>696669</v>
      </c>
      <c r="U193">
        <f>Table1[[#This Row],[Interview_Date]]-Table1[[#This Row],[Application_Date]]</f>
        <v>14</v>
      </c>
      <c r="V193" t="str">
        <f>IF(OR(Table1[[#This Row],[Offer_Date]]="",Table1[[#This Row],[Interview_Date]]=""),"",Table1[[#This Row],[Offer_Date]]-Table1[[#This Row],[Interview_Date]])</f>
        <v/>
      </c>
    </row>
    <row r="194" spans="1:22" x14ac:dyDescent="0.3">
      <c r="A194" t="s">
        <v>249</v>
      </c>
      <c r="B194" t="s">
        <v>72</v>
      </c>
      <c r="C194" t="s">
        <v>59</v>
      </c>
      <c r="D194" t="s">
        <v>26</v>
      </c>
      <c r="E194">
        <v>24</v>
      </c>
      <c r="F194" t="s">
        <v>74</v>
      </c>
      <c r="G194" t="s">
        <v>20</v>
      </c>
      <c r="H194" t="s">
        <v>40</v>
      </c>
      <c r="I194" s="1">
        <v>44215</v>
      </c>
      <c r="J194" s="1">
        <v>44223</v>
      </c>
      <c r="K194" s="1">
        <v>44228</v>
      </c>
      <c r="L194">
        <v>5</v>
      </c>
      <c r="M194">
        <v>8</v>
      </c>
      <c r="N194" t="s">
        <v>28</v>
      </c>
      <c r="O194">
        <v>1044717</v>
      </c>
      <c r="U194">
        <f>Table1[[#This Row],[Interview_Date]]-Table1[[#This Row],[Application_Date]]</f>
        <v>8</v>
      </c>
      <c r="V194">
        <f>IF(OR(Table1[[#This Row],[Offer_Date]]="",Table1[[#This Row],[Interview_Date]]=""),"",Table1[[#This Row],[Offer_Date]]-Table1[[#This Row],[Interview_Date]])</f>
        <v>5</v>
      </c>
    </row>
    <row r="195" spans="1:22" x14ac:dyDescent="0.3">
      <c r="A195" t="s">
        <v>250</v>
      </c>
      <c r="B195" t="s">
        <v>38</v>
      </c>
      <c r="C195" t="s">
        <v>25</v>
      </c>
      <c r="D195" t="s">
        <v>18</v>
      </c>
      <c r="E195">
        <v>34</v>
      </c>
      <c r="F195" t="s">
        <v>34</v>
      </c>
      <c r="G195" t="s">
        <v>27</v>
      </c>
      <c r="H195" t="s">
        <v>36</v>
      </c>
      <c r="I195" s="1">
        <v>44840</v>
      </c>
      <c r="J195" s="1">
        <v>44851</v>
      </c>
      <c r="K195" s="1">
        <v>44854</v>
      </c>
      <c r="L195">
        <v>4</v>
      </c>
      <c r="M195">
        <v>2</v>
      </c>
      <c r="N195" t="s">
        <v>45</v>
      </c>
      <c r="O195">
        <v>569404</v>
      </c>
      <c r="U195">
        <f>Table1[[#This Row],[Interview_Date]]-Table1[[#This Row],[Application_Date]]</f>
        <v>11</v>
      </c>
      <c r="V195">
        <f>IF(OR(Table1[[#This Row],[Offer_Date]]="",Table1[[#This Row],[Interview_Date]]=""),"",Table1[[#This Row],[Offer_Date]]-Table1[[#This Row],[Interview_Date]])</f>
        <v>3</v>
      </c>
    </row>
    <row r="196" spans="1:22" x14ac:dyDescent="0.3">
      <c r="A196" t="s">
        <v>251</v>
      </c>
      <c r="B196" t="s">
        <v>63</v>
      </c>
      <c r="C196" t="s">
        <v>17</v>
      </c>
      <c r="D196" t="s">
        <v>26</v>
      </c>
      <c r="E196">
        <v>29</v>
      </c>
      <c r="F196" t="s">
        <v>56</v>
      </c>
      <c r="G196" t="s">
        <v>35</v>
      </c>
      <c r="H196" t="s">
        <v>51</v>
      </c>
      <c r="I196" s="1">
        <v>45293</v>
      </c>
      <c r="J196" s="1">
        <v>45302</v>
      </c>
      <c r="K196" s="1">
        <v>45305</v>
      </c>
      <c r="L196">
        <v>3</v>
      </c>
      <c r="M196">
        <v>7</v>
      </c>
      <c r="N196" t="s">
        <v>45</v>
      </c>
      <c r="O196">
        <v>554954</v>
      </c>
      <c r="U196">
        <f>Table1[[#This Row],[Interview_Date]]-Table1[[#This Row],[Application_Date]]</f>
        <v>9</v>
      </c>
      <c r="V196">
        <f>IF(OR(Table1[[#This Row],[Offer_Date]]="",Table1[[#This Row],[Interview_Date]]=""),"",Table1[[#This Row],[Offer_Date]]-Table1[[#This Row],[Interview_Date]])</f>
        <v>3</v>
      </c>
    </row>
    <row r="197" spans="1:22" x14ac:dyDescent="0.3">
      <c r="A197" t="s">
        <v>252</v>
      </c>
      <c r="B197" t="s">
        <v>58</v>
      </c>
      <c r="C197" t="s">
        <v>50</v>
      </c>
      <c r="D197" t="s">
        <v>18</v>
      </c>
      <c r="E197">
        <v>35</v>
      </c>
      <c r="F197" t="s">
        <v>39</v>
      </c>
      <c r="G197" t="s">
        <v>35</v>
      </c>
      <c r="H197" t="s">
        <v>40</v>
      </c>
      <c r="I197" s="1">
        <v>45128</v>
      </c>
      <c r="J197" s="1">
        <v>45141</v>
      </c>
      <c r="L197">
        <v>3</v>
      </c>
      <c r="M197">
        <v>8</v>
      </c>
      <c r="N197" t="s">
        <v>28</v>
      </c>
      <c r="O197">
        <v>902000</v>
      </c>
      <c r="U197">
        <f>Table1[[#This Row],[Interview_Date]]-Table1[[#This Row],[Application_Date]]</f>
        <v>13</v>
      </c>
      <c r="V197" t="str">
        <f>IF(OR(Table1[[#This Row],[Offer_Date]]="",Table1[[#This Row],[Interview_Date]]=""),"",Table1[[#This Row],[Offer_Date]]-Table1[[#This Row],[Interview_Date]])</f>
        <v/>
      </c>
    </row>
    <row r="198" spans="1:22" x14ac:dyDescent="0.3">
      <c r="A198" t="s">
        <v>253</v>
      </c>
      <c r="B198" t="s">
        <v>33</v>
      </c>
      <c r="C198" t="s">
        <v>25</v>
      </c>
      <c r="D198" t="s">
        <v>26</v>
      </c>
      <c r="E198">
        <v>28</v>
      </c>
      <c r="F198" t="s">
        <v>34</v>
      </c>
      <c r="G198" t="s">
        <v>20</v>
      </c>
      <c r="H198" t="s">
        <v>54</v>
      </c>
      <c r="I198" s="1">
        <v>44517</v>
      </c>
      <c r="J198" s="1">
        <v>44526</v>
      </c>
      <c r="K198" s="1">
        <v>44532</v>
      </c>
      <c r="L198">
        <v>1</v>
      </c>
      <c r="M198">
        <v>2</v>
      </c>
      <c r="N198" t="s">
        <v>22</v>
      </c>
      <c r="O198">
        <v>883606</v>
      </c>
      <c r="U198">
        <f>Table1[[#This Row],[Interview_Date]]-Table1[[#This Row],[Application_Date]]</f>
        <v>9</v>
      </c>
      <c r="V198">
        <f>IF(OR(Table1[[#This Row],[Offer_Date]]="",Table1[[#This Row],[Interview_Date]]=""),"",Table1[[#This Row],[Offer_Date]]-Table1[[#This Row],[Interview_Date]])</f>
        <v>6</v>
      </c>
    </row>
    <row r="199" spans="1:22" x14ac:dyDescent="0.3">
      <c r="A199" t="s">
        <v>254</v>
      </c>
      <c r="B199" t="s">
        <v>58</v>
      </c>
      <c r="C199" t="s">
        <v>17</v>
      </c>
      <c r="D199" t="s">
        <v>26</v>
      </c>
      <c r="E199">
        <v>38</v>
      </c>
      <c r="F199" t="s">
        <v>56</v>
      </c>
      <c r="G199" t="s">
        <v>60</v>
      </c>
      <c r="H199" t="s">
        <v>54</v>
      </c>
      <c r="I199" s="1">
        <v>45203</v>
      </c>
      <c r="J199" s="1">
        <v>45208</v>
      </c>
      <c r="L199">
        <v>4</v>
      </c>
      <c r="M199">
        <v>10</v>
      </c>
      <c r="N199" t="s">
        <v>45</v>
      </c>
      <c r="O199">
        <v>511138</v>
      </c>
      <c r="U199">
        <f>Table1[[#This Row],[Interview_Date]]-Table1[[#This Row],[Application_Date]]</f>
        <v>5</v>
      </c>
      <c r="V199" t="str">
        <f>IF(OR(Table1[[#This Row],[Offer_Date]]="",Table1[[#This Row],[Interview_Date]]=""),"",Table1[[#This Row],[Offer_Date]]-Table1[[#This Row],[Interview_Date]])</f>
        <v/>
      </c>
    </row>
    <row r="200" spans="1:22" x14ac:dyDescent="0.3">
      <c r="A200" t="s">
        <v>255</v>
      </c>
      <c r="B200" t="s">
        <v>24</v>
      </c>
      <c r="C200" t="s">
        <v>43</v>
      </c>
      <c r="D200" t="s">
        <v>18</v>
      </c>
      <c r="E200">
        <v>35</v>
      </c>
      <c r="F200" t="s">
        <v>74</v>
      </c>
      <c r="G200" t="s">
        <v>27</v>
      </c>
      <c r="H200" t="s">
        <v>51</v>
      </c>
      <c r="I200" s="1">
        <v>44256</v>
      </c>
      <c r="J200" s="1">
        <v>44271</v>
      </c>
      <c r="L200">
        <v>3</v>
      </c>
      <c r="M200">
        <v>8</v>
      </c>
      <c r="N200" t="s">
        <v>48</v>
      </c>
      <c r="O200">
        <v>522326</v>
      </c>
      <c r="U200">
        <f>Table1[[#This Row],[Interview_Date]]-Table1[[#This Row],[Application_Date]]</f>
        <v>15</v>
      </c>
      <c r="V200" t="str">
        <f>IF(OR(Table1[[#This Row],[Offer_Date]]="",Table1[[#This Row],[Interview_Date]]=""),"",Table1[[#This Row],[Offer_Date]]-Table1[[#This Row],[Interview_Date]])</f>
        <v/>
      </c>
    </row>
    <row r="201" spans="1:22" x14ac:dyDescent="0.3">
      <c r="A201" t="s">
        <v>256</v>
      </c>
      <c r="B201" t="s">
        <v>63</v>
      </c>
      <c r="C201" t="s">
        <v>59</v>
      </c>
      <c r="D201" t="s">
        <v>26</v>
      </c>
      <c r="E201">
        <v>35</v>
      </c>
      <c r="F201" t="s">
        <v>34</v>
      </c>
      <c r="G201" t="s">
        <v>44</v>
      </c>
      <c r="H201" t="s">
        <v>36</v>
      </c>
      <c r="I201" s="1">
        <v>44909</v>
      </c>
      <c r="J201" s="1">
        <v>44923</v>
      </c>
      <c r="L201">
        <v>2</v>
      </c>
      <c r="M201">
        <v>8</v>
      </c>
      <c r="N201" t="s">
        <v>48</v>
      </c>
      <c r="O201">
        <v>384134</v>
      </c>
      <c r="U201">
        <f>Table1[[#This Row],[Interview_Date]]-Table1[[#This Row],[Application_Date]]</f>
        <v>14</v>
      </c>
      <c r="V201" t="str">
        <f>IF(OR(Table1[[#This Row],[Offer_Date]]="",Table1[[#This Row],[Interview_Date]]=""),"",Table1[[#This Row],[Offer_Date]]-Table1[[#This Row],[Interview_Date]])</f>
        <v/>
      </c>
    </row>
    <row r="202" spans="1:22" x14ac:dyDescent="0.3">
      <c r="A202" t="s">
        <v>257</v>
      </c>
      <c r="B202" t="s">
        <v>42</v>
      </c>
      <c r="C202" t="s">
        <v>30</v>
      </c>
      <c r="D202" t="s">
        <v>18</v>
      </c>
      <c r="E202">
        <v>22</v>
      </c>
      <c r="F202" t="s">
        <v>31</v>
      </c>
      <c r="G202" t="s">
        <v>27</v>
      </c>
      <c r="H202" t="s">
        <v>54</v>
      </c>
      <c r="I202" s="1">
        <v>44345</v>
      </c>
      <c r="J202" s="1">
        <v>44353</v>
      </c>
      <c r="L202">
        <v>3</v>
      </c>
      <c r="M202">
        <v>10</v>
      </c>
      <c r="N202" t="s">
        <v>45</v>
      </c>
      <c r="O202">
        <v>403098</v>
      </c>
      <c r="U202">
        <f>Table1[[#This Row],[Interview_Date]]-Table1[[#This Row],[Application_Date]]</f>
        <v>8</v>
      </c>
      <c r="V202" t="str">
        <f>IF(OR(Table1[[#This Row],[Offer_Date]]="",Table1[[#This Row],[Interview_Date]]=""),"",Table1[[#This Row],[Offer_Date]]-Table1[[#This Row],[Interview_Date]])</f>
        <v/>
      </c>
    </row>
    <row r="203" spans="1:22" x14ac:dyDescent="0.3">
      <c r="A203" t="s">
        <v>258</v>
      </c>
      <c r="B203" t="s">
        <v>58</v>
      </c>
      <c r="C203" t="s">
        <v>94</v>
      </c>
      <c r="D203" t="s">
        <v>18</v>
      </c>
      <c r="E203">
        <v>21</v>
      </c>
      <c r="F203" t="s">
        <v>19</v>
      </c>
      <c r="G203" t="s">
        <v>27</v>
      </c>
      <c r="H203" t="s">
        <v>51</v>
      </c>
      <c r="I203" s="1">
        <v>44379</v>
      </c>
      <c r="J203" s="1">
        <v>44385</v>
      </c>
      <c r="K203" s="1">
        <v>44387</v>
      </c>
      <c r="L203">
        <v>4</v>
      </c>
      <c r="M203">
        <v>10</v>
      </c>
      <c r="N203" t="s">
        <v>45</v>
      </c>
      <c r="O203">
        <v>1002152</v>
      </c>
      <c r="U203">
        <f>Table1[[#This Row],[Interview_Date]]-Table1[[#This Row],[Application_Date]]</f>
        <v>6</v>
      </c>
      <c r="V203">
        <f>IF(OR(Table1[[#This Row],[Offer_Date]]="",Table1[[#This Row],[Interview_Date]]=""),"",Table1[[#This Row],[Offer_Date]]-Table1[[#This Row],[Interview_Date]])</f>
        <v>2</v>
      </c>
    </row>
    <row r="204" spans="1:22" x14ac:dyDescent="0.3">
      <c r="A204" t="s">
        <v>259</v>
      </c>
      <c r="B204" t="s">
        <v>33</v>
      </c>
      <c r="C204" t="s">
        <v>17</v>
      </c>
      <c r="D204" t="s">
        <v>18</v>
      </c>
      <c r="E204">
        <v>39</v>
      </c>
      <c r="F204" t="s">
        <v>56</v>
      </c>
      <c r="G204" t="s">
        <v>27</v>
      </c>
      <c r="H204" t="s">
        <v>36</v>
      </c>
      <c r="I204" s="1">
        <v>44784</v>
      </c>
      <c r="J204" s="1">
        <v>44792</v>
      </c>
      <c r="L204">
        <v>4</v>
      </c>
      <c r="M204">
        <v>2</v>
      </c>
      <c r="N204" t="s">
        <v>22</v>
      </c>
      <c r="O204">
        <v>1150823</v>
      </c>
      <c r="U204">
        <f>Table1[[#This Row],[Interview_Date]]-Table1[[#This Row],[Application_Date]]</f>
        <v>8</v>
      </c>
      <c r="V204" t="str">
        <f>IF(OR(Table1[[#This Row],[Offer_Date]]="",Table1[[#This Row],[Interview_Date]]=""),"",Table1[[#This Row],[Offer_Date]]-Table1[[#This Row],[Interview_Date]])</f>
        <v/>
      </c>
    </row>
    <row r="205" spans="1:22" x14ac:dyDescent="0.3">
      <c r="A205" t="s">
        <v>260</v>
      </c>
      <c r="B205" t="s">
        <v>58</v>
      </c>
      <c r="C205" t="s">
        <v>25</v>
      </c>
      <c r="D205" t="s">
        <v>26</v>
      </c>
      <c r="E205">
        <v>34</v>
      </c>
      <c r="F205" t="s">
        <v>31</v>
      </c>
      <c r="G205" t="s">
        <v>60</v>
      </c>
      <c r="H205" t="s">
        <v>36</v>
      </c>
      <c r="I205" s="1">
        <v>44424</v>
      </c>
      <c r="J205" s="1">
        <v>44435</v>
      </c>
      <c r="L205">
        <v>2</v>
      </c>
      <c r="M205">
        <v>8</v>
      </c>
      <c r="N205" t="s">
        <v>22</v>
      </c>
      <c r="O205">
        <v>617910</v>
      </c>
      <c r="U205">
        <f>Table1[[#This Row],[Interview_Date]]-Table1[[#This Row],[Application_Date]]</f>
        <v>11</v>
      </c>
      <c r="V205" t="str">
        <f>IF(OR(Table1[[#This Row],[Offer_Date]]="",Table1[[#This Row],[Interview_Date]]=""),"",Table1[[#This Row],[Offer_Date]]-Table1[[#This Row],[Interview_Date]])</f>
        <v/>
      </c>
    </row>
    <row r="206" spans="1:22" x14ac:dyDescent="0.3">
      <c r="A206" t="s">
        <v>261</v>
      </c>
      <c r="B206" t="s">
        <v>63</v>
      </c>
      <c r="C206" t="s">
        <v>25</v>
      </c>
      <c r="D206" t="s">
        <v>18</v>
      </c>
      <c r="E206">
        <v>30</v>
      </c>
      <c r="F206" t="s">
        <v>74</v>
      </c>
      <c r="G206" t="s">
        <v>20</v>
      </c>
      <c r="H206" t="s">
        <v>54</v>
      </c>
      <c r="I206" s="1">
        <v>45359</v>
      </c>
      <c r="J206" s="1">
        <v>45371</v>
      </c>
      <c r="L206">
        <v>5</v>
      </c>
      <c r="M206">
        <v>4</v>
      </c>
      <c r="N206" t="s">
        <v>45</v>
      </c>
      <c r="O206">
        <v>1066038</v>
      </c>
      <c r="U206">
        <f>Table1[[#This Row],[Interview_Date]]-Table1[[#This Row],[Application_Date]]</f>
        <v>12</v>
      </c>
      <c r="V206" t="str">
        <f>IF(OR(Table1[[#This Row],[Offer_Date]]="",Table1[[#This Row],[Interview_Date]]=""),"",Table1[[#This Row],[Offer_Date]]-Table1[[#This Row],[Interview_Date]])</f>
        <v/>
      </c>
    </row>
    <row r="207" spans="1:22" x14ac:dyDescent="0.3">
      <c r="A207" t="s">
        <v>262</v>
      </c>
      <c r="B207" t="s">
        <v>33</v>
      </c>
      <c r="C207" t="s">
        <v>69</v>
      </c>
      <c r="D207" t="s">
        <v>26</v>
      </c>
      <c r="E207">
        <v>39</v>
      </c>
      <c r="F207" t="s">
        <v>19</v>
      </c>
      <c r="G207" t="s">
        <v>44</v>
      </c>
      <c r="H207" t="s">
        <v>54</v>
      </c>
      <c r="I207" s="1">
        <v>45157</v>
      </c>
      <c r="J207" s="1">
        <v>45161</v>
      </c>
      <c r="K207" s="1">
        <v>45166</v>
      </c>
      <c r="L207">
        <v>1</v>
      </c>
      <c r="M207">
        <v>10</v>
      </c>
      <c r="N207" t="s">
        <v>48</v>
      </c>
      <c r="O207">
        <v>1181081</v>
      </c>
      <c r="U207">
        <f>Table1[[#This Row],[Interview_Date]]-Table1[[#This Row],[Application_Date]]</f>
        <v>4</v>
      </c>
      <c r="V207">
        <f>IF(OR(Table1[[#This Row],[Offer_Date]]="",Table1[[#This Row],[Interview_Date]]=""),"",Table1[[#This Row],[Offer_Date]]-Table1[[#This Row],[Interview_Date]])</f>
        <v>5</v>
      </c>
    </row>
    <row r="208" spans="1:22" x14ac:dyDescent="0.3">
      <c r="A208" t="s">
        <v>263</v>
      </c>
      <c r="B208" t="s">
        <v>58</v>
      </c>
      <c r="C208" t="s">
        <v>53</v>
      </c>
      <c r="D208" t="s">
        <v>26</v>
      </c>
      <c r="E208">
        <v>22</v>
      </c>
      <c r="F208" t="s">
        <v>31</v>
      </c>
      <c r="G208" t="s">
        <v>44</v>
      </c>
      <c r="H208" t="s">
        <v>40</v>
      </c>
      <c r="I208" s="1">
        <v>44764</v>
      </c>
      <c r="J208" s="1">
        <v>44773</v>
      </c>
      <c r="L208">
        <v>5</v>
      </c>
      <c r="M208">
        <v>6</v>
      </c>
      <c r="N208" t="s">
        <v>28</v>
      </c>
      <c r="O208">
        <v>593151</v>
      </c>
      <c r="U208">
        <f>Table1[[#This Row],[Interview_Date]]-Table1[[#This Row],[Application_Date]]</f>
        <v>9</v>
      </c>
      <c r="V208" t="str">
        <f>IF(OR(Table1[[#This Row],[Offer_Date]]="",Table1[[#This Row],[Interview_Date]]=""),"",Table1[[#This Row],[Offer_Date]]-Table1[[#This Row],[Interview_Date]])</f>
        <v/>
      </c>
    </row>
    <row r="209" spans="1:22" x14ac:dyDescent="0.3">
      <c r="A209" t="s">
        <v>264</v>
      </c>
      <c r="B209" t="s">
        <v>33</v>
      </c>
      <c r="C209" t="s">
        <v>25</v>
      </c>
      <c r="D209" t="s">
        <v>18</v>
      </c>
      <c r="E209">
        <v>31</v>
      </c>
      <c r="F209" t="s">
        <v>19</v>
      </c>
      <c r="G209" t="s">
        <v>27</v>
      </c>
      <c r="H209" t="s">
        <v>40</v>
      </c>
      <c r="I209" s="1">
        <v>44465</v>
      </c>
      <c r="J209" s="1">
        <v>44472</v>
      </c>
      <c r="L209">
        <v>3</v>
      </c>
      <c r="M209">
        <v>2</v>
      </c>
      <c r="N209" t="s">
        <v>45</v>
      </c>
      <c r="O209">
        <v>812791</v>
      </c>
      <c r="U209">
        <f>Table1[[#This Row],[Interview_Date]]-Table1[[#This Row],[Application_Date]]</f>
        <v>7</v>
      </c>
      <c r="V209" t="str">
        <f>IF(OR(Table1[[#This Row],[Offer_Date]]="",Table1[[#This Row],[Interview_Date]]=""),"",Table1[[#This Row],[Offer_Date]]-Table1[[#This Row],[Interview_Date]])</f>
        <v/>
      </c>
    </row>
    <row r="210" spans="1:22" x14ac:dyDescent="0.3">
      <c r="A210" t="s">
        <v>265</v>
      </c>
      <c r="B210" t="s">
        <v>33</v>
      </c>
      <c r="C210" t="s">
        <v>94</v>
      </c>
      <c r="D210" t="s">
        <v>18</v>
      </c>
      <c r="E210">
        <v>24</v>
      </c>
      <c r="F210" t="s">
        <v>56</v>
      </c>
      <c r="G210" t="s">
        <v>20</v>
      </c>
      <c r="H210" t="s">
        <v>21</v>
      </c>
      <c r="I210" s="1">
        <v>44596</v>
      </c>
      <c r="J210" s="1">
        <v>44599</v>
      </c>
      <c r="L210">
        <v>3</v>
      </c>
      <c r="M210">
        <v>2</v>
      </c>
      <c r="N210" t="s">
        <v>22</v>
      </c>
      <c r="O210">
        <v>372822</v>
      </c>
      <c r="U210">
        <f>Table1[[#This Row],[Interview_Date]]-Table1[[#This Row],[Application_Date]]</f>
        <v>3</v>
      </c>
      <c r="V210" t="str">
        <f>IF(OR(Table1[[#This Row],[Offer_Date]]="",Table1[[#This Row],[Interview_Date]]=""),"",Table1[[#This Row],[Offer_Date]]-Table1[[#This Row],[Interview_Date]])</f>
        <v/>
      </c>
    </row>
    <row r="211" spans="1:22" x14ac:dyDescent="0.3">
      <c r="A211" t="s">
        <v>266</v>
      </c>
      <c r="B211" t="s">
        <v>72</v>
      </c>
      <c r="C211" t="s">
        <v>69</v>
      </c>
      <c r="D211" t="s">
        <v>18</v>
      </c>
      <c r="E211">
        <v>33</v>
      </c>
      <c r="F211" t="s">
        <v>74</v>
      </c>
      <c r="G211" t="s">
        <v>20</v>
      </c>
      <c r="H211" t="s">
        <v>51</v>
      </c>
      <c r="I211" s="1">
        <v>44727</v>
      </c>
      <c r="J211" s="1">
        <v>44736</v>
      </c>
      <c r="L211">
        <v>3</v>
      </c>
      <c r="M211">
        <v>2</v>
      </c>
      <c r="N211" t="s">
        <v>22</v>
      </c>
      <c r="O211">
        <v>828812</v>
      </c>
      <c r="U211">
        <f>Table1[[#This Row],[Interview_Date]]-Table1[[#This Row],[Application_Date]]</f>
        <v>9</v>
      </c>
      <c r="V211" t="str">
        <f>IF(OR(Table1[[#This Row],[Offer_Date]]="",Table1[[#This Row],[Interview_Date]]=""),"",Table1[[#This Row],[Offer_Date]]-Table1[[#This Row],[Interview_Date]])</f>
        <v/>
      </c>
    </row>
    <row r="212" spans="1:22" x14ac:dyDescent="0.3">
      <c r="A212" t="s">
        <v>267</v>
      </c>
      <c r="B212" t="s">
        <v>42</v>
      </c>
      <c r="C212" t="s">
        <v>25</v>
      </c>
      <c r="D212" t="s">
        <v>26</v>
      </c>
      <c r="E212">
        <v>32</v>
      </c>
      <c r="F212" t="s">
        <v>74</v>
      </c>
      <c r="G212" t="s">
        <v>44</v>
      </c>
      <c r="H212" t="s">
        <v>21</v>
      </c>
      <c r="I212" s="1">
        <v>45258</v>
      </c>
      <c r="J212" s="1">
        <v>45272</v>
      </c>
      <c r="K212" s="1">
        <v>45277</v>
      </c>
      <c r="L212">
        <v>1</v>
      </c>
      <c r="M212">
        <v>5</v>
      </c>
      <c r="N212" t="s">
        <v>48</v>
      </c>
      <c r="O212">
        <v>736818</v>
      </c>
      <c r="U212">
        <f>Table1[[#This Row],[Interview_Date]]-Table1[[#This Row],[Application_Date]]</f>
        <v>14</v>
      </c>
      <c r="V212">
        <f>IF(OR(Table1[[#This Row],[Offer_Date]]="",Table1[[#This Row],[Interview_Date]]=""),"",Table1[[#This Row],[Offer_Date]]-Table1[[#This Row],[Interview_Date]])</f>
        <v>5</v>
      </c>
    </row>
    <row r="213" spans="1:22" x14ac:dyDescent="0.3">
      <c r="A213" t="s">
        <v>268</v>
      </c>
      <c r="B213" t="s">
        <v>38</v>
      </c>
      <c r="C213" t="s">
        <v>53</v>
      </c>
      <c r="D213" t="s">
        <v>26</v>
      </c>
      <c r="E213">
        <v>35</v>
      </c>
      <c r="F213" t="s">
        <v>74</v>
      </c>
      <c r="G213" t="s">
        <v>20</v>
      </c>
      <c r="H213" t="s">
        <v>51</v>
      </c>
      <c r="I213" s="1">
        <v>45230</v>
      </c>
      <c r="J213" s="1">
        <v>45241</v>
      </c>
      <c r="K213" s="1">
        <v>45248</v>
      </c>
      <c r="L213">
        <v>2</v>
      </c>
      <c r="M213">
        <v>10</v>
      </c>
      <c r="N213" t="s">
        <v>48</v>
      </c>
      <c r="O213">
        <v>739799</v>
      </c>
      <c r="U213">
        <f>Table1[[#This Row],[Interview_Date]]-Table1[[#This Row],[Application_Date]]</f>
        <v>11</v>
      </c>
      <c r="V213">
        <f>IF(OR(Table1[[#This Row],[Offer_Date]]="",Table1[[#This Row],[Interview_Date]]=""),"",Table1[[#This Row],[Offer_Date]]-Table1[[#This Row],[Interview_Date]])</f>
        <v>7</v>
      </c>
    </row>
    <row r="214" spans="1:22" x14ac:dyDescent="0.3">
      <c r="A214" t="s">
        <v>269</v>
      </c>
      <c r="B214" t="s">
        <v>16</v>
      </c>
      <c r="C214" t="s">
        <v>43</v>
      </c>
      <c r="D214" t="s">
        <v>18</v>
      </c>
      <c r="E214">
        <v>27</v>
      </c>
      <c r="F214" t="s">
        <v>56</v>
      </c>
      <c r="G214" t="s">
        <v>44</v>
      </c>
      <c r="H214" t="s">
        <v>21</v>
      </c>
      <c r="I214" s="1">
        <v>45144</v>
      </c>
      <c r="J214" s="1">
        <v>45149</v>
      </c>
      <c r="L214">
        <v>1</v>
      </c>
      <c r="M214">
        <v>6</v>
      </c>
      <c r="N214" t="s">
        <v>48</v>
      </c>
      <c r="O214">
        <v>395766</v>
      </c>
      <c r="U214">
        <f>Table1[[#This Row],[Interview_Date]]-Table1[[#This Row],[Application_Date]]</f>
        <v>5</v>
      </c>
      <c r="V214" t="str">
        <f>IF(OR(Table1[[#This Row],[Offer_Date]]="",Table1[[#This Row],[Interview_Date]]=""),"",Table1[[#This Row],[Offer_Date]]-Table1[[#This Row],[Interview_Date]])</f>
        <v/>
      </c>
    </row>
    <row r="215" spans="1:22" x14ac:dyDescent="0.3">
      <c r="A215" t="s">
        <v>270</v>
      </c>
      <c r="B215" t="s">
        <v>65</v>
      </c>
      <c r="C215" t="s">
        <v>17</v>
      </c>
      <c r="D215" t="s">
        <v>18</v>
      </c>
      <c r="E215">
        <v>29</v>
      </c>
      <c r="F215" t="s">
        <v>31</v>
      </c>
      <c r="G215" t="s">
        <v>27</v>
      </c>
      <c r="H215" t="s">
        <v>51</v>
      </c>
      <c r="I215" s="1">
        <v>45037</v>
      </c>
      <c r="J215" s="1">
        <v>45044</v>
      </c>
      <c r="K215" s="1">
        <v>45050</v>
      </c>
      <c r="L215">
        <v>1</v>
      </c>
      <c r="M215">
        <v>9</v>
      </c>
      <c r="N215" t="s">
        <v>28</v>
      </c>
      <c r="O215">
        <v>1039785</v>
      </c>
      <c r="U215">
        <f>Table1[[#This Row],[Interview_Date]]-Table1[[#This Row],[Application_Date]]</f>
        <v>7</v>
      </c>
      <c r="V215">
        <f>IF(OR(Table1[[#This Row],[Offer_Date]]="",Table1[[#This Row],[Interview_Date]]=""),"",Table1[[#This Row],[Offer_Date]]-Table1[[#This Row],[Interview_Date]])</f>
        <v>6</v>
      </c>
    </row>
    <row r="216" spans="1:22" x14ac:dyDescent="0.3">
      <c r="A216" t="s">
        <v>271</v>
      </c>
      <c r="B216" t="s">
        <v>47</v>
      </c>
      <c r="C216" t="s">
        <v>43</v>
      </c>
      <c r="D216" t="s">
        <v>18</v>
      </c>
      <c r="E216">
        <v>22</v>
      </c>
      <c r="F216" t="s">
        <v>39</v>
      </c>
      <c r="G216" t="s">
        <v>20</v>
      </c>
      <c r="H216" t="s">
        <v>21</v>
      </c>
      <c r="I216" s="1">
        <v>44964</v>
      </c>
      <c r="J216" s="1">
        <v>44973</v>
      </c>
      <c r="L216">
        <v>1</v>
      </c>
      <c r="M216">
        <v>6</v>
      </c>
      <c r="N216" t="s">
        <v>22</v>
      </c>
      <c r="O216">
        <v>987603</v>
      </c>
      <c r="U216">
        <f>Table1[[#This Row],[Interview_Date]]-Table1[[#This Row],[Application_Date]]</f>
        <v>9</v>
      </c>
      <c r="V216" t="str">
        <f>IF(OR(Table1[[#This Row],[Offer_Date]]="",Table1[[#This Row],[Interview_Date]]=""),"",Table1[[#This Row],[Offer_Date]]-Table1[[#This Row],[Interview_Date]])</f>
        <v/>
      </c>
    </row>
    <row r="217" spans="1:22" x14ac:dyDescent="0.3">
      <c r="A217" t="s">
        <v>272</v>
      </c>
      <c r="B217" t="s">
        <v>24</v>
      </c>
      <c r="C217" t="s">
        <v>59</v>
      </c>
      <c r="D217" t="s">
        <v>26</v>
      </c>
      <c r="E217">
        <v>42</v>
      </c>
      <c r="F217" t="s">
        <v>19</v>
      </c>
      <c r="G217" t="s">
        <v>35</v>
      </c>
      <c r="H217" t="s">
        <v>54</v>
      </c>
      <c r="I217" s="1">
        <v>45092</v>
      </c>
      <c r="J217" s="1">
        <v>45099</v>
      </c>
      <c r="K217" s="1">
        <v>45106</v>
      </c>
      <c r="L217">
        <v>4</v>
      </c>
      <c r="M217">
        <v>9</v>
      </c>
      <c r="N217" t="s">
        <v>48</v>
      </c>
      <c r="O217">
        <v>808468</v>
      </c>
      <c r="U217">
        <f>Table1[[#This Row],[Interview_Date]]-Table1[[#This Row],[Application_Date]]</f>
        <v>7</v>
      </c>
      <c r="V217">
        <f>IF(OR(Table1[[#This Row],[Offer_Date]]="",Table1[[#This Row],[Interview_Date]]=""),"",Table1[[#This Row],[Offer_Date]]-Table1[[#This Row],[Interview_Date]])</f>
        <v>7</v>
      </c>
    </row>
    <row r="218" spans="1:22" x14ac:dyDescent="0.3">
      <c r="A218" t="s">
        <v>273</v>
      </c>
      <c r="B218" t="s">
        <v>38</v>
      </c>
      <c r="C218" t="s">
        <v>66</v>
      </c>
      <c r="D218" t="s">
        <v>26</v>
      </c>
      <c r="E218">
        <v>36</v>
      </c>
      <c r="F218" t="s">
        <v>56</v>
      </c>
      <c r="G218" t="s">
        <v>60</v>
      </c>
      <c r="H218" t="s">
        <v>36</v>
      </c>
      <c r="I218" s="1">
        <v>45024</v>
      </c>
      <c r="J218" s="1">
        <v>45033</v>
      </c>
      <c r="L218">
        <v>5</v>
      </c>
      <c r="M218">
        <v>6</v>
      </c>
      <c r="N218" t="s">
        <v>22</v>
      </c>
      <c r="O218">
        <v>355097</v>
      </c>
      <c r="U218">
        <f>Table1[[#This Row],[Interview_Date]]-Table1[[#This Row],[Application_Date]]</f>
        <v>9</v>
      </c>
      <c r="V218" t="str">
        <f>IF(OR(Table1[[#This Row],[Offer_Date]]="",Table1[[#This Row],[Interview_Date]]=""),"",Table1[[#This Row],[Offer_Date]]-Table1[[#This Row],[Interview_Date]])</f>
        <v/>
      </c>
    </row>
    <row r="219" spans="1:22" x14ac:dyDescent="0.3">
      <c r="A219" t="s">
        <v>274</v>
      </c>
      <c r="B219" t="s">
        <v>63</v>
      </c>
      <c r="C219" t="s">
        <v>69</v>
      </c>
      <c r="D219" t="s">
        <v>18</v>
      </c>
      <c r="E219">
        <v>24</v>
      </c>
      <c r="F219" t="s">
        <v>34</v>
      </c>
      <c r="G219" t="s">
        <v>60</v>
      </c>
      <c r="H219" t="s">
        <v>36</v>
      </c>
      <c r="I219" s="1">
        <v>45000</v>
      </c>
      <c r="J219" s="1">
        <v>45003</v>
      </c>
      <c r="L219">
        <v>4</v>
      </c>
      <c r="M219">
        <v>6</v>
      </c>
      <c r="N219" t="s">
        <v>45</v>
      </c>
      <c r="O219">
        <v>753381</v>
      </c>
      <c r="U219">
        <f>Table1[[#This Row],[Interview_Date]]-Table1[[#This Row],[Application_Date]]</f>
        <v>3</v>
      </c>
      <c r="V219" t="str">
        <f>IF(OR(Table1[[#This Row],[Offer_Date]]="",Table1[[#This Row],[Interview_Date]]=""),"",Table1[[#This Row],[Offer_Date]]-Table1[[#This Row],[Interview_Date]])</f>
        <v/>
      </c>
    </row>
    <row r="220" spans="1:22" x14ac:dyDescent="0.3">
      <c r="A220" t="s">
        <v>275</v>
      </c>
      <c r="B220" t="s">
        <v>24</v>
      </c>
      <c r="C220" t="s">
        <v>43</v>
      </c>
      <c r="D220" t="s">
        <v>26</v>
      </c>
      <c r="E220">
        <v>24</v>
      </c>
      <c r="F220" t="s">
        <v>34</v>
      </c>
      <c r="G220" t="s">
        <v>20</v>
      </c>
      <c r="H220" t="s">
        <v>51</v>
      </c>
      <c r="I220" s="1">
        <v>44301</v>
      </c>
      <c r="J220" s="1">
        <v>44311</v>
      </c>
      <c r="L220">
        <v>1</v>
      </c>
      <c r="M220">
        <v>6</v>
      </c>
      <c r="N220" t="s">
        <v>22</v>
      </c>
      <c r="O220">
        <v>1145583</v>
      </c>
      <c r="U220">
        <f>Table1[[#This Row],[Interview_Date]]-Table1[[#This Row],[Application_Date]]</f>
        <v>10</v>
      </c>
      <c r="V220" t="str">
        <f>IF(OR(Table1[[#This Row],[Offer_Date]]="",Table1[[#This Row],[Interview_Date]]=""),"",Table1[[#This Row],[Offer_Date]]-Table1[[#This Row],[Interview_Date]])</f>
        <v/>
      </c>
    </row>
    <row r="221" spans="1:22" x14ac:dyDescent="0.3">
      <c r="A221" t="s">
        <v>276</v>
      </c>
      <c r="B221" t="s">
        <v>65</v>
      </c>
      <c r="C221" t="s">
        <v>59</v>
      </c>
      <c r="D221" t="s">
        <v>18</v>
      </c>
      <c r="E221">
        <v>33</v>
      </c>
      <c r="F221" t="s">
        <v>56</v>
      </c>
      <c r="G221" t="s">
        <v>35</v>
      </c>
      <c r="H221" t="s">
        <v>51</v>
      </c>
      <c r="I221" s="1">
        <v>44840</v>
      </c>
      <c r="J221" s="1">
        <v>44846</v>
      </c>
      <c r="K221" s="1">
        <v>44850</v>
      </c>
      <c r="L221">
        <v>2</v>
      </c>
      <c r="M221">
        <v>9</v>
      </c>
      <c r="N221" t="s">
        <v>48</v>
      </c>
      <c r="O221">
        <v>496439</v>
      </c>
      <c r="U221">
        <f>Table1[[#This Row],[Interview_Date]]-Table1[[#This Row],[Application_Date]]</f>
        <v>6</v>
      </c>
      <c r="V221">
        <f>IF(OR(Table1[[#This Row],[Offer_Date]]="",Table1[[#This Row],[Interview_Date]]=""),"",Table1[[#This Row],[Offer_Date]]-Table1[[#This Row],[Interview_Date]])</f>
        <v>4</v>
      </c>
    </row>
    <row r="222" spans="1:22" x14ac:dyDescent="0.3">
      <c r="A222" t="s">
        <v>277</v>
      </c>
      <c r="B222" t="s">
        <v>38</v>
      </c>
      <c r="C222" t="s">
        <v>94</v>
      </c>
      <c r="D222" t="s">
        <v>26</v>
      </c>
      <c r="E222">
        <v>42</v>
      </c>
      <c r="F222" t="s">
        <v>19</v>
      </c>
      <c r="G222" t="s">
        <v>20</v>
      </c>
      <c r="H222" t="s">
        <v>36</v>
      </c>
      <c r="I222" s="1">
        <v>44728</v>
      </c>
      <c r="J222" s="1">
        <v>44732</v>
      </c>
      <c r="L222">
        <v>5</v>
      </c>
      <c r="M222">
        <v>5</v>
      </c>
      <c r="N222" t="s">
        <v>45</v>
      </c>
      <c r="O222">
        <v>323331</v>
      </c>
      <c r="U222">
        <f>Table1[[#This Row],[Interview_Date]]-Table1[[#This Row],[Application_Date]]</f>
        <v>4</v>
      </c>
      <c r="V222" t="str">
        <f>IF(OR(Table1[[#This Row],[Offer_Date]]="",Table1[[#This Row],[Interview_Date]]=""),"",Table1[[#This Row],[Offer_Date]]-Table1[[#This Row],[Interview_Date]])</f>
        <v/>
      </c>
    </row>
    <row r="223" spans="1:22" x14ac:dyDescent="0.3">
      <c r="A223" t="s">
        <v>278</v>
      </c>
      <c r="B223" t="s">
        <v>33</v>
      </c>
      <c r="C223" t="s">
        <v>25</v>
      </c>
      <c r="D223" t="s">
        <v>26</v>
      </c>
      <c r="E223">
        <v>37</v>
      </c>
      <c r="F223" t="s">
        <v>74</v>
      </c>
      <c r="G223" t="s">
        <v>20</v>
      </c>
      <c r="H223" t="s">
        <v>21</v>
      </c>
      <c r="I223" s="1">
        <v>44459</v>
      </c>
      <c r="J223" s="1">
        <v>44462</v>
      </c>
      <c r="L223">
        <v>2</v>
      </c>
      <c r="M223">
        <v>2</v>
      </c>
      <c r="N223" t="s">
        <v>22</v>
      </c>
      <c r="O223">
        <v>304020</v>
      </c>
      <c r="U223">
        <f>Table1[[#This Row],[Interview_Date]]-Table1[[#This Row],[Application_Date]]</f>
        <v>3</v>
      </c>
      <c r="V223" t="str">
        <f>IF(OR(Table1[[#This Row],[Offer_Date]]="",Table1[[#This Row],[Interview_Date]]=""),"",Table1[[#This Row],[Offer_Date]]-Table1[[#This Row],[Interview_Date]])</f>
        <v/>
      </c>
    </row>
    <row r="224" spans="1:22" x14ac:dyDescent="0.3">
      <c r="A224" t="s">
        <v>279</v>
      </c>
      <c r="B224" t="s">
        <v>58</v>
      </c>
      <c r="C224" t="s">
        <v>94</v>
      </c>
      <c r="D224" t="s">
        <v>18</v>
      </c>
      <c r="E224">
        <v>22</v>
      </c>
      <c r="F224" t="s">
        <v>31</v>
      </c>
      <c r="G224" t="s">
        <v>20</v>
      </c>
      <c r="H224" t="s">
        <v>54</v>
      </c>
      <c r="I224" s="1">
        <v>45164</v>
      </c>
      <c r="J224" s="1">
        <v>45179</v>
      </c>
      <c r="L224">
        <v>1</v>
      </c>
      <c r="M224">
        <v>2</v>
      </c>
      <c r="N224" t="s">
        <v>28</v>
      </c>
      <c r="O224">
        <v>493858</v>
      </c>
      <c r="U224">
        <f>Table1[[#This Row],[Interview_Date]]-Table1[[#This Row],[Application_Date]]</f>
        <v>15</v>
      </c>
      <c r="V224" t="str">
        <f>IF(OR(Table1[[#This Row],[Offer_Date]]="",Table1[[#This Row],[Interview_Date]]=""),"",Table1[[#This Row],[Offer_Date]]-Table1[[#This Row],[Interview_Date]])</f>
        <v/>
      </c>
    </row>
    <row r="225" spans="1:22" x14ac:dyDescent="0.3">
      <c r="A225" t="s">
        <v>280</v>
      </c>
      <c r="B225" t="s">
        <v>42</v>
      </c>
      <c r="C225" t="s">
        <v>94</v>
      </c>
      <c r="D225" t="s">
        <v>18</v>
      </c>
      <c r="E225">
        <v>32</v>
      </c>
      <c r="F225" t="s">
        <v>34</v>
      </c>
      <c r="G225" t="s">
        <v>44</v>
      </c>
      <c r="H225" t="s">
        <v>54</v>
      </c>
      <c r="I225" s="1">
        <v>45146</v>
      </c>
      <c r="J225" s="1">
        <v>45152</v>
      </c>
      <c r="L225">
        <v>1</v>
      </c>
      <c r="M225">
        <v>10</v>
      </c>
      <c r="N225" t="s">
        <v>22</v>
      </c>
      <c r="O225">
        <v>401976</v>
      </c>
      <c r="U225">
        <f>Table1[[#This Row],[Interview_Date]]-Table1[[#This Row],[Application_Date]]</f>
        <v>6</v>
      </c>
      <c r="V225" t="str">
        <f>IF(OR(Table1[[#This Row],[Offer_Date]]="",Table1[[#This Row],[Interview_Date]]=""),"",Table1[[#This Row],[Offer_Date]]-Table1[[#This Row],[Interview_Date]])</f>
        <v/>
      </c>
    </row>
    <row r="226" spans="1:22" x14ac:dyDescent="0.3">
      <c r="A226" t="s">
        <v>281</v>
      </c>
      <c r="B226" t="s">
        <v>63</v>
      </c>
      <c r="C226" t="s">
        <v>69</v>
      </c>
      <c r="D226" t="s">
        <v>18</v>
      </c>
      <c r="E226">
        <v>36</v>
      </c>
      <c r="F226" t="s">
        <v>56</v>
      </c>
      <c r="G226" t="s">
        <v>44</v>
      </c>
      <c r="H226" t="s">
        <v>40</v>
      </c>
      <c r="I226" s="1">
        <v>45010</v>
      </c>
      <c r="J226" s="1">
        <v>45013</v>
      </c>
      <c r="K226" s="1">
        <v>45016</v>
      </c>
      <c r="L226">
        <v>4</v>
      </c>
      <c r="M226">
        <v>8</v>
      </c>
      <c r="N226" t="s">
        <v>45</v>
      </c>
      <c r="O226">
        <v>1127707</v>
      </c>
      <c r="U226">
        <f>Table1[[#This Row],[Interview_Date]]-Table1[[#This Row],[Application_Date]]</f>
        <v>3</v>
      </c>
      <c r="V226">
        <f>IF(OR(Table1[[#This Row],[Offer_Date]]="",Table1[[#This Row],[Interview_Date]]=""),"",Table1[[#This Row],[Offer_Date]]-Table1[[#This Row],[Interview_Date]])</f>
        <v>3</v>
      </c>
    </row>
    <row r="227" spans="1:22" x14ac:dyDescent="0.3">
      <c r="A227" t="s">
        <v>282</v>
      </c>
      <c r="B227" t="s">
        <v>33</v>
      </c>
      <c r="C227" t="s">
        <v>69</v>
      </c>
      <c r="D227" t="s">
        <v>18</v>
      </c>
      <c r="E227">
        <v>45</v>
      </c>
      <c r="F227" t="s">
        <v>74</v>
      </c>
      <c r="G227" t="s">
        <v>35</v>
      </c>
      <c r="H227" t="s">
        <v>21</v>
      </c>
      <c r="I227" s="1">
        <v>44730</v>
      </c>
      <c r="J227" s="1">
        <v>44741</v>
      </c>
      <c r="L227">
        <v>2</v>
      </c>
      <c r="M227">
        <v>8</v>
      </c>
      <c r="N227" t="s">
        <v>28</v>
      </c>
      <c r="O227">
        <v>860366</v>
      </c>
      <c r="U227">
        <f>Table1[[#This Row],[Interview_Date]]-Table1[[#This Row],[Application_Date]]</f>
        <v>11</v>
      </c>
      <c r="V227" t="str">
        <f>IF(OR(Table1[[#This Row],[Offer_Date]]="",Table1[[#This Row],[Interview_Date]]=""),"",Table1[[#This Row],[Offer_Date]]-Table1[[#This Row],[Interview_Date]])</f>
        <v/>
      </c>
    </row>
    <row r="228" spans="1:22" x14ac:dyDescent="0.3">
      <c r="A228" t="s">
        <v>283</v>
      </c>
      <c r="B228" t="s">
        <v>33</v>
      </c>
      <c r="C228" t="s">
        <v>30</v>
      </c>
      <c r="D228" t="s">
        <v>26</v>
      </c>
      <c r="E228">
        <v>25</v>
      </c>
      <c r="F228" t="s">
        <v>74</v>
      </c>
      <c r="G228" t="s">
        <v>20</v>
      </c>
      <c r="H228" t="s">
        <v>21</v>
      </c>
      <c r="I228" s="1">
        <v>44738</v>
      </c>
      <c r="J228" s="1">
        <v>44743</v>
      </c>
      <c r="K228" s="1">
        <v>44747</v>
      </c>
      <c r="L228">
        <v>4</v>
      </c>
      <c r="M228">
        <v>8</v>
      </c>
      <c r="N228" t="s">
        <v>45</v>
      </c>
      <c r="O228">
        <v>794604</v>
      </c>
      <c r="U228">
        <f>Table1[[#This Row],[Interview_Date]]-Table1[[#This Row],[Application_Date]]</f>
        <v>5</v>
      </c>
      <c r="V228">
        <f>IF(OR(Table1[[#This Row],[Offer_Date]]="",Table1[[#This Row],[Interview_Date]]=""),"",Table1[[#This Row],[Offer_Date]]-Table1[[#This Row],[Interview_Date]])</f>
        <v>4</v>
      </c>
    </row>
    <row r="229" spans="1:22" x14ac:dyDescent="0.3">
      <c r="A229" t="s">
        <v>284</v>
      </c>
      <c r="B229" t="s">
        <v>24</v>
      </c>
      <c r="C229" t="s">
        <v>53</v>
      </c>
      <c r="D229" t="s">
        <v>18</v>
      </c>
      <c r="E229">
        <v>35</v>
      </c>
      <c r="F229" t="s">
        <v>39</v>
      </c>
      <c r="G229" t="s">
        <v>35</v>
      </c>
      <c r="H229" t="s">
        <v>21</v>
      </c>
      <c r="I229" s="1">
        <v>45318</v>
      </c>
      <c r="J229" s="1">
        <v>45331</v>
      </c>
      <c r="K229" s="1">
        <v>45336</v>
      </c>
      <c r="L229">
        <v>5</v>
      </c>
      <c r="M229">
        <v>6</v>
      </c>
      <c r="N229" t="s">
        <v>45</v>
      </c>
      <c r="O229">
        <v>604244</v>
      </c>
      <c r="U229">
        <f>Table1[[#This Row],[Interview_Date]]-Table1[[#This Row],[Application_Date]]</f>
        <v>13</v>
      </c>
      <c r="V229">
        <f>IF(OR(Table1[[#This Row],[Offer_Date]]="",Table1[[#This Row],[Interview_Date]]=""),"",Table1[[#This Row],[Offer_Date]]-Table1[[#This Row],[Interview_Date]])</f>
        <v>5</v>
      </c>
    </row>
    <row r="230" spans="1:22" x14ac:dyDescent="0.3">
      <c r="A230" t="s">
        <v>285</v>
      </c>
      <c r="B230" t="s">
        <v>72</v>
      </c>
      <c r="C230" t="s">
        <v>59</v>
      </c>
      <c r="D230" t="s">
        <v>18</v>
      </c>
      <c r="E230">
        <v>25</v>
      </c>
      <c r="F230" t="s">
        <v>56</v>
      </c>
      <c r="G230" t="s">
        <v>27</v>
      </c>
      <c r="H230" t="s">
        <v>54</v>
      </c>
      <c r="I230" s="1">
        <v>45279</v>
      </c>
      <c r="J230" s="1">
        <v>45294</v>
      </c>
      <c r="L230">
        <v>1</v>
      </c>
      <c r="M230">
        <v>8</v>
      </c>
      <c r="N230" t="s">
        <v>22</v>
      </c>
      <c r="O230">
        <v>643502</v>
      </c>
      <c r="U230">
        <f>Table1[[#This Row],[Interview_Date]]-Table1[[#This Row],[Application_Date]]</f>
        <v>15</v>
      </c>
      <c r="V230" t="str">
        <f>IF(OR(Table1[[#This Row],[Offer_Date]]="",Table1[[#This Row],[Interview_Date]]=""),"",Table1[[#This Row],[Offer_Date]]-Table1[[#This Row],[Interview_Date]])</f>
        <v/>
      </c>
    </row>
    <row r="231" spans="1:22" x14ac:dyDescent="0.3">
      <c r="A231" t="s">
        <v>286</v>
      </c>
      <c r="B231" t="s">
        <v>72</v>
      </c>
      <c r="C231" t="s">
        <v>30</v>
      </c>
      <c r="D231" t="s">
        <v>18</v>
      </c>
      <c r="E231">
        <v>25</v>
      </c>
      <c r="F231" t="s">
        <v>74</v>
      </c>
      <c r="G231" t="s">
        <v>35</v>
      </c>
      <c r="H231" t="s">
        <v>21</v>
      </c>
      <c r="I231" s="1">
        <v>45345</v>
      </c>
      <c r="J231" s="1">
        <v>45359</v>
      </c>
      <c r="L231">
        <v>3</v>
      </c>
      <c r="M231">
        <v>6</v>
      </c>
      <c r="N231" t="s">
        <v>28</v>
      </c>
      <c r="O231">
        <v>752291</v>
      </c>
      <c r="U231">
        <f>Table1[[#This Row],[Interview_Date]]-Table1[[#This Row],[Application_Date]]</f>
        <v>14</v>
      </c>
      <c r="V231" t="str">
        <f>IF(OR(Table1[[#This Row],[Offer_Date]]="",Table1[[#This Row],[Interview_Date]]=""),"",Table1[[#This Row],[Offer_Date]]-Table1[[#This Row],[Interview_Date]])</f>
        <v/>
      </c>
    </row>
    <row r="232" spans="1:22" x14ac:dyDescent="0.3">
      <c r="A232" t="s">
        <v>287</v>
      </c>
      <c r="B232" t="s">
        <v>58</v>
      </c>
      <c r="C232" t="s">
        <v>59</v>
      </c>
      <c r="D232" t="s">
        <v>26</v>
      </c>
      <c r="E232">
        <v>44</v>
      </c>
      <c r="F232" t="s">
        <v>31</v>
      </c>
      <c r="G232" t="s">
        <v>20</v>
      </c>
      <c r="H232" t="s">
        <v>21</v>
      </c>
      <c r="I232" s="1">
        <v>45031</v>
      </c>
      <c r="J232" s="1">
        <v>45035</v>
      </c>
      <c r="K232" s="1">
        <v>45039</v>
      </c>
      <c r="L232">
        <v>1</v>
      </c>
      <c r="M232">
        <v>3</v>
      </c>
      <c r="N232" t="s">
        <v>28</v>
      </c>
      <c r="O232">
        <v>1117952</v>
      </c>
      <c r="U232">
        <f>Table1[[#This Row],[Interview_Date]]-Table1[[#This Row],[Application_Date]]</f>
        <v>4</v>
      </c>
      <c r="V232">
        <f>IF(OR(Table1[[#This Row],[Offer_Date]]="",Table1[[#This Row],[Interview_Date]]=""),"",Table1[[#This Row],[Offer_Date]]-Table1[[#This Row],[Interview_Date]])</f>
        <v>4</v>
      </c>
    </row>
    <row r="233" spans="1:22" x14ac:dyDescent="0.3">
      <c r="A233" t="s">
        <v>288</v>
      </c>
      <c r="B233" t="s">
        <v>47</v>
      </c>
      <c r="C233" t="s">
        <v>94</v>
      </c>
      <c r="D233" t="s">
        <v>26</v>
      </c>
      <c r="E233">
        <v>41</v>
      </c>
      <c r="F233" t="s">
        <v>56</v>
      </c>
      <c r="G233" t="s">
        <v>60</v>
      </c>
      <c r="H233" t="s">
        <v>51</v>
      </c>
      <c r="I233" s="1">
        <v>44332</v>
      </c>
      <c r="J233" s="1">
        <v>44338</v>
      </c>
      <c r="L233">
        <v>4</v>
      </c>
      <c r="M233">
        <v>3</v>
      </c>
      <c r="N233" t="s">
        <v>28</v>
      </c>
      <c r="O233">
        <v>433168</v>
      </c>
      <c r="U233">
        <f>Table1[[#This Row],[Interview_Date]]-Table1[[#This Row],[Application_Date]]</f>
        <v>6</v>
      </c>
      <c r="V233" t="str">
        <f>IF(OR(Table1[[#This Row],[Offer_Date]]="",Table1[[#This Row],[Interview_Date]]=""),"",Table1[[#This Row],[Offer_Date]]-Table1[[#This Row],[Interview_Date]])</f>
        <v/>
      </c>
    </row>
    <row r="234" spans="1:22" x14ac:dyDescent="0.3">
      <c r="A234" t="s">
        <v>289</v>
      </c>
      <c r="B234" t="s">
        <v>24</v>
      </c>
      <c r="C234" t="s">
        <v>30</v>
      </c>
      <c r="D234" t="s">
        <v>26</v>
      </c>
      <c r="E234">
        <v>28</v>
      </c>
      <c r="F234" t="s">
        <v>31</v>
      </c>
      <c r="G234" t="s">
        <v>44</v>
      </c>
      <c r="H234" t="s">
        <v>54</v>
      </c>
      <c r="I234" s="1">
        <v>45329</v>
      </c>
      <c r="J234" s="1">
        <v>45339</v>
      </c>
      <c r="L234">
        <v>5</v>
      </c>
      <c r="M234">
        <v>9</v>
      </c>
      <c r="N234" t="s">
        <v>45</v>
      </c>
      <c r="O234">
        <v>450472</v>
      </c>
      <c r="U234">
        <f>Table1[[#This Row],[Interview_Date]]-Table1[[#This Row],[Application_Date]]</f>
        <v>10</v>
      </c>
      <c r="V234" t="str">
        <f>IF(OR(Table1[[#This Row],[Offer_Date]]="",Table1[[#This Row],[Interview_Date]]=""),"",Table1[[#This Row],[Offer_Date]]-Table1[[#This Row],[Interview_Date]])</f>
        <v/>
      </c>
    </row>
    <row r="235" spans="1:22" x14ac:dyDescent="0.3">
      <c r="A235" t="s">
        <v>290</v>
      </c>
      <c r="B235" t="s">
        <v>16</v>
      </c>
      <c r="C235" t="s">
        <v>53</v>
      </c>
      <c r="D235" t="s">
        <v>26</v>
      </c>
      <c r="E235">
        <v>36</v>
      </c>
      <c r="F235" t="s">
        <v>34</v>
      </c>
      <c r="G235" t="s">
        <v>27</v>
      </c>
      <c r="H235" t="s">
        <v>54</v>
      </c>
      <c r="I235" s="1">
        <v>45140</v>
      </c>
      <c r="J235" s="1">
        <v>45151</v>
      </c>
      <c r="L235">
        <v>5</v>
      </c>
      <c r="M235">
        <v>5</v>
      </c>
      <c r="N235" t="s">
        <v>48</v>
      </c>
      <c r="O235">
        <v>357167</v>
      </c>
      <c r="U235">
        <f>Table1[[#This Row],[Interview_Date]]-Table1[[#This Row],[Application_Date]]</f>
        <v>11</v>
      </c>
      <c r="V235" t="str">
        <f>IF(OR(Table1[[#This Row],[Offer_Date]]="",Table1[[#This Row],[Interview_Date]]=""),"",Table1[[#This Row],[Offer_Date]]-Table1[[#This Row],[Interview_Date]])</f>
        <v/>
      </c>
    </row>
    <row r="236" spans="1:22" x14ac:dyDescent="0.3">
      <c r="A236" t="s">
        <v>291</v>
      </c>
      <c r="B236" t="s">
        <v>65</v>
      </c>
      <c r="C236" t="s">
        <v>17</v>
      </c>
      <c r="D236" t="s">
        <v>26</v>
      </c>
      <c r="E236">
        <v>23</v>
      </c>
      <c r="F236" t="s">
        <v>56</v>
      </c>
      <c r="G236" t="s">
        <v>35</v>
      </c>
      <c r="H236" t="s">
        <v>51</v>
      </c>
      <c r="I236" s="1">
        <v>45035</v>
      </c>
      <c r="J236" s="1">
        <v>45044</v>
      </c>
      <c r="L236">
        <v>1</v>
      </c>
      <c r="M236">
        <v>3</v>
      </c>
      <c r="N236" t="s">
        <v>22</v>
      </c>
      <c r="O236">
        <v>750664</v>
      </c>
      <c r="U236">
        <f>Table1[[#This Row],[Interview_Date]]-Table1[[#This Row],[Application_Date]]</f>
        <v>9</v>
      </c>
      <c r="V236" t="str">
        <f>IF(OR(Table1[[#This Row],[Offer_Date]]="",Table1[[#This Row],[Interview_Date]]=""),"",Table1[[#This Row],[Offer_Date]]-Table1[[#This Row],[Interview_Date]])</f>
        <v/>
      </c>
    </row>
    <row r="237" spans="1:22" x14ac:dyDescent="0.3">
      <c r="A237" t="s">
        <v>292</v>
      </c>
      <c r="B237" t="s">
        <v>72</v>
      </c>
      <c r="C237" t="s">
        <v>53</v>
      </c>
      <c r="D237" t="s">
        <v>18</v>
      </c>
      <c r="E237">
        <v>33</v>
      </c>
      <c r="F237" t="s">
        <v>74</v>
      </c>
      <c r="G237" t="s">
        <v>60</v>
      </c>
      <c r="H237" t="s">
        <v>40</v>
      </c>
      <c r="I237" s="1">
        <v>44370</v>
      </c>
      <c r="J237" s="1">
        <v>44379</v>
      </c>
      <c r="K237" s="1">
        <v>44382</v>
      </c>
      <c r="L237">
        <v>2</v>
      </c>
      <c r="M237">
        <v>5</v>
      </c>
      <c r="N237" t="s">
        <v>28</v>
      </c>
      <c r="O237">
        <v>949031</v>
      </c>
      <c r="U237">
        <f>Table1[[#This Row],[Interview_Date]]-Table1[[#This Row],[Application_Date]]</f>
        <v>9</v>
      </c>
      <c r="V237">
        <f>IF(OR(Table1[[#This Row],[Offer_Date]]="",Table1[[#This Row],[Interview_Date]]=""),"",Table1[[#This Row],[Offer_Date]]-Table1[[#This Row],[Interview_Date]])</f>
        <v>3</v>
      </c>
    </row>
    <row r="238" spans="1:22" x14ac:dyDescent="0.3">
      <c r="A238" t="s">
        <v>293</v>
      </c>
      <c r="B238" t="s">
        <v>33</v>
      </c>
      <c r="C238" t="s">
        <v>59</v>
      </c>
      <c r="D238" t="s">
        <v>18</v>
      </c>
      <c r="E238">
        <v>45</v>
      </c>
      <c r="F238" t="s">
        <v>56</v>
      </c>
      <c r="G238" t="s">
        <v>60</v>
      </c>
      <c r="H238" t="s">
        <v>21</v>
      </c>
      <c r="I238" s="1">
        <v>45321</v>
      </c>
      <c r="J238" s="1">
        <v>45333</v>
      </c>
      <c r="L238">
        <v>4</v>
      </c>
      <c r="M238">
        <v>10</v>
      </c>
      <c r="N238" t="s">
        <v>22</v>
      </c>
      <c r="O238">
        <v>342609</v>
      </c>
      <c r="U238">
        <f>Table1[[#This Row],[Interview_Date]]-Table1[[#This Row],[Application_Date]]</f>
        <v>12</v>
      </c>
      <c r="V238" t="str">
        <f>IF(OR(Table1[[#This Row],[Offer_Date]]="",Table1[[#This Row],[Interview_Date]]=""),"",Table1[[#This Row],[Offer_Date]]-Table1[[#This Row],[Interview_Date]])</f>
        <v/>
      </c>
    </row>
    <row r="239" spans="1:22" x14ac:dyDescent="0.3">
      <c r="A239" t="s">
        <v>294</v>
      </c>
      <c r="B239" t="s">
        <v>24</v>
      </c>
      <c r="C239" t="s">
        <v>25</v>
      </c>
      <c r="D239" t="s">
        <v>26</v>
      </c>
      <c r="E239">
        <v>28</v>
      </c>
      <c r="F239" t="s">
        <v>56</v>
      </c>
      <c r="G239" t="s">
        <v>60</v>
      </c>
      <c r="H239" t="s">
        <v>51</v>
      </c>
      <c r="I239" s="1">
        <v>44759</v>
      </c>
      <c r="J239" s="1">
        <v>44772</v>
      </c>
      <c r="L239">
        <v>2</v>
      </c>
      <c r="M239">
        <v>2</v>
      </c>
      <c r="N239" t="s">
        <v>45</v>
      </c>
      <c r="O239">
        <v>770067</v>
      </c>
      <c r="U239">
        <f>Table1[[#This Row],[Interview_Date]]-Table1[[#This Row],[Application_Date]]</f>
        <v>13</v>
      </c>
      <c r="V239" t="str">
        <f>IF(OR(Table1[[#This Row],[Offer_Date]]="",Table1[[#This Row],[Interview_Date]]=""),"",Table1[[#This Row],[Offer_Date]]-Table1[[#This Row],[Interview_Date]])</f>
        <v/>
      </c>
    </row>
    <row r="240" spans="1:22" x14ac:dyDescent="0.3">
      <c r="A240" t="s">
        <v>295</v>
      </c>
      <c r="B240" t="s">
        <v>24</v>
      </c>
      <c r="C240" t="s">
        <v>50</v>
      </c>
      <c r="D240" t="s">
        <v>18</v>
      </c>
      <c r="E240">
        <v>25</v>
      </c>
      <c r="F240" t="s">
        <v>19</v>
      </c>
      <c r="G240" t="s">
        <v>44</v>
      </c>
      <c r="H240" t="s">
        <v>36</v>
      </c>
      <c r="I240" s="1">
        <v>45209</v>
      </c>
      <c r="J240" s="1">
        <v>45212</v>
      </c>
      <c r="K240" s="1">
        <v>45217</v>
      </c>
      <c r="L240">
        <v>5</v>
      </c>
      <c r="M240">
        <v>10</v>
      </c>
      <c r="N240" t="s">
        <v>22</v>
      </c>
      <c r="O240">
        <v>1052996</v>
      </c>
      <c r="U240">
        <f>Table1[[#This Row],[Interview_Date]]-Table1[[#This Row],[Application_Date]]</f>
        <v>3</v>
      </c>
      <c r="V240">
        <f>IF(OR(Table1[[#This Row],[Offer_Date]]="",Table1[[#This Row],[Interview_Date]]=""),"",Table1[[#This Row],[Offer_Date]]-Table1[[#This Row],[Interview_Date]])</f>
        <v>5</v>
      </c>
    </row>
    <row r="241" spans="1:22" x14ac:dyDescent="0.3">
      <c r="A241" t="s">
        <v>296</v>
      </c>
      <c r="B241" t="s">
        <v>47</v>
      </c>
      <c r="C241" t="s">
        <v>25</v>
      </c>
      <c r="D241" t="s">
        <v>26</v>
      </c>
      <c r="E241">
        <v>30</v>
      </c>
      <c r="F241" t="s">
        <v>31</v>
      </c>
      <c r="G241" t="s">
        <v>27</v>
      </c>
      <c r="H241" t="s">
        <v>36</v>
      </c>
      <c r="I241" s="1">
        <v>44787</v>
      </c>
      <c r="J241" s="1">
        <v>44797</v>
      </c>
      <c r="K241" s="1">
        <v>44804</v>
      </c>
      <c r="L241">
        <v>3</v>
      </c>
      <c r="M241">
        <v>2</v>
      </c>
      <c r="N241" t="s">
        <v>45</v>
      </c>
      <c r="O241">
        <v>1121818</v>
      </c>
      <c r="U241">
        <f>Table1[[#This Row],[Interview_Date]]-Table1[[#This Row],[Application_Date]]</f>
        <v>10</v>
      </c>
      <c r="V241">
        <f>IF(OR(Table1[[#This Row],[Offer_Date]]="",Table1[[#This Row],[Interview_Date]]=""),"",Table1[[#This Row],[Offer_Date]]-Table1[[#This Row],[Interview_Date]])</f>
        <v>7</v>
      </c>
    </row>
    <row r="242" spans="1:22" x14ac:dyDescent="0.3">
      <c r="A242" t="s">
        <v>297</v>
      </c>
      <c r="B242" t="s">
        <v>63</v>
      </c>
      <c r="C242" t="s">
        <v>59</v>
      </c>
      <c r="D242" t="s">
        <v>18</v>
      </c>
      <c r="E242">
        <v>23</v>
      </c>
      <c r="F242" t="s">
        <v>31</v>
      </c>
      <c r="G242" t="s">
        <v>20</v>
      </c>
      <c r="H242" t="s">
        <v>21</v>
      </c>
      <c r="I242" s="1">
        <v>44497</v>
      </c>
      <c r="J242" s="1">
        <v>44501</v>
      </c>
      <c r="K242" s="1">
        <v>44504</v>
      </c>
      <c r="L242">
        <v>4</v>
      </c>
      <c r="M242">
        <v>5</v>
      </c>
      <c r="N242" t="s">
        <v>45</v>
      </c>
      <c r="O242">
        <v>425383</v>
      </c>
      <c r="U242">
        <f>Table1[[#This Row],[Interview_Date]]-Table1[[#This Row],[Application_Date]]</f>
        <v>4</v>
      </c>
      <c r="V242">
        <f>IF(OR(Table1[[#This Row],[Offer_Date]]="",Table1[[#This Row],[Interview_Date]]=""),"",Table1[[#This Row],[Offer_Date]]-Table1[[#This Row],[Interview_Date]])</f>
        <v>3</v>
      </c>
    </row>
    <row r="243" spans="1:22" x14ac:dyDescent="0.3">
      <c r="A243" t="s">
        <v>298</v>
      </c>
      <c r="B243" t="s">
        <v>58</v>
      </c>
      <c r="C243" t="s">
        <v>25</v>
      </c>
      <c r="D243" t="s">
        <v>26</v>
      </c>
      <c r="E243">
        <v>40</v>
      </c>
      <c r="F243" t="s">
        <v>31</v>
      </c>
      <c r="G243" t="s">
        <v>44</v>
      </c>
      <c r="H243" t="s">
        <v>40</v>
      </c>
      <c r="I243" s="1">
        <v>44603</v>
      </c>
      <c r="J243" s="1">
        <v>44616</v>
      </c>
      <c r="L243">
        <v>2</v>
      </c>
      <c r="M243">
        <v>8</v>
      </c>
      <c r="N243" t="s">
        <v>45</v>
      </c>
      <c r="O243">
        <v>1050876</v>
      </c>
      <c r="U243">
        <f>Table1[[#This Row],[Interview_Date]]-Table1[[#This Row],[Application_Date]]</f>
        <v>13</v>
      </c>
      <c r="V243" t="str">
        <f>IF(OR(Table1[[#This Row],[Offer_Date]]="",Table1[[#This Row],[Interview_Date]]=""),"",Table1[[#This Row],[Offer_Date]]-Table1[[#This Row],[Interview_Date]])</f>
        <v/>
      </c>
    </row>
    <row r="244" spans="1:22" x14ac:dyDescent="0.3">
      <c r="A244" t="s">
        <v>299</v>
      </c>
      <c r="B244" t="s">
        <v>16</v>
      </c>
      <c r="C244" t="s">
        <v>30</v>
      </c>
      <c r="D244" t="s">
        <v>26</v>
      </c>
      <c r="E244">
        <v>43</v>
      </c>
      <c r="F244" t="s">
        <v>56</v>
      </c>
      <c r="G244" t="s">
        <v>44</v>
      </c>
      <c r="H244" t="s">
        <v>21</v>
      </c>
      <c r="I244" s="1">
        <v>45113</v>
      </c>
      <c r="J244" s="1">
        <v>45118</v>
      </c>
      <c r="K244" s="1">
        <v>45125</v>
      </c>
      <c r="L244">
        <v>4</v>
      </c>
      <c r="M244">
        <v>4</v>
      </c>
      <c r="N244" t="s">
        <v>48</v>
      </c>
      <c r="O244">
        <v>642740</v>
      </c>
      <c r="U244">
        <f>Table1[[#This Row],[Interview_Date]]-Table1[[#This Row],[Application_Date]]</f>
        <v>5</v>
      </c>
      <c r="V244">
        <f>IF(OR(Table1[[#This Row],[Offer_Date]]="",Table1[[#This Row],[Interview_Date]]=""),"",Table1[[#This Row],[Offer_Date]]-Table1[[#This Row],[Interview_Date]])</f>
        <v>7</v>
      </c>
    </row>
    <row r="245" spans="1:22" x14ac:dyDescent="0.3">
      <c r="A245" t="s">
        <v>300</v>
      </c>
      <c r="B245" t="s">
        <v>72</v>
      </c>
      <c r="C245" t="s">
        <v>69</v>
      </c>
      <c r="D245" t="s">
        <v>18</v>
      </c>
      <c r="E245">
        <v>34</v>
      </c>
      <c r="F245" t="s">
        <v>19</v>
      </c>
      <c r="G245" t="s">
        <v>44</v>
      </c>
      <c r="H245" t="s">
        <v>51</v>
      </c>
      <c r="I245" s="1">
        <v>44813</v>
      </c>
      <c r="J245" s="1">
        <v>44824</v>
      </c>
      <c r="L245">
        <v>4</v>
      </c>
      <c r="M245">
        <v>5</v>
      </c>
      <c r="N245" t="s">
        <v>48</v>
      </c>
      <c r="O245">
        <v>546197</v>
      </c>
      <c r="U245">
        <f>Table1[[#This Row],[Interview_Date]]-Table1[[#This Row],[Application_Date]]</f>
        <v>11</v>
      </c>
      <c r="V245" t="str">
        <f>IF(OR(Table1[[#This Row],[Offer_Date]]="",Table1[[#This Row],[Interview_Date]]=""),"",Table1[[#This Row],[Offer_Date]]-Table1[[#This Row],[Interview_Date]])</f>
        <v/>
      </c>
    </row>
    <row r="246" spans="1:22" x14ac:dyDescent="0.3">
      <c r="A246" t="s">
        <v>301</v>
      </c>
      <c r="B246" t="s">
        <v>33</v>
      </c>
      <c r="C246" t="s">
        <v>50</v>
      </c>
      <c r="D246" t="s">
        <v>26</v>
      </c>
      <c r="E246">
        <v>28</v>
      </c>
      <c r="F246" t="s">
        <v>56</v>
      </c>
      <c r="G246" t="s">
        <v>60</v>
      </c>
      <c r="H246" t="s">
        <v>40</v>
      </c>
      <c r="I246" s="1">
        <v>44975</v>
      </c>
      <c r="J246" s="1">
        <v>44990</v>
      </c>
      <c r="K246" s="1">
        <v>44996</v>
      </c>
      <c r="L246">
        <v>3</v>
      </c>
      <c r="M246">
        <v>5</v>
      </c>
      <c r="N246" t="s">
        <v>28</v>
      </c>
      <c r="O246">
        <v>685057</v>
      </c>
      <c r="U246">
        <f>Table1[[#This Row],[Interview_Date]]-Table1[[#This Row],[Application_Date]]</f>
        <v>15</v>
      </c>
      <c r="V246">
        <f>IF(OR(Table1[[#This Row],[Offer_Date]]="",Table1[[#This Row],[Interview_Date]]=""),"",Table1[[#This Row],[Offer_Date]]-Table1[[#This Row],[Interview_Date]])</f>
        <v>6</v>
      </c>
    </row>
    <row r="247" spans="1:22" x14ac:dyDescent="0.3">
      <c r="A247" t="s">
        <v>302</v>
      </c>
      <c r="B247" t="s">
        <v>33</v>
      </c>
      <c r="C247" t="s">
        <v>94</v>
      </c>
      <c r="D247" t="s">
        <v>18</v>
      </c>
      <c r="E247">
        <v>35</v>
      </c>
      <c r="F247" t="s">
        <v>19</v>
      </c>
      <c r="G247" t="s">
        <v>60</v>
      </c>
      <c r="H247" t="s">
        <v>36</v>
      </c>
      <c r="I247" s="1">
        <v>44505</v>
      </c>
      <c r="J247" s="1">
        <v>44517</v>
      </c>
      <c r="K247" s="1">
        <v>44519</v>
      </c>
      <c r="L247">
        <v>3</v>
      </c>
      <c r="M247">
        <v>9</v>
      </c>
      <c r="N247" t="s">
        <v>22</v>
      </c>
      <c r="O247">
        <v>1082881</v>
      </c>
      <c r="U247">
        <f>Table1[[#This Row],[Interview_Date]]-Table1[[#This Row],[Application_Date]]</f>
        <v>12</v>
      </c>
      <c r="V247">
        <f>IF(OR(Table1[[#This Row],[Offer_Date]]="",Table1[[#This Row],[Interview_Date]]=""),"",Table1[[#This Row],[Offer_Date]]-Table1[[#This Row],[Interview_Date]])</f>
        <v>2</v>
      </c>
    </row>
    <row r="248" spans="1:22" x14ac:dyDescent="0.3">
      <c r="A248" t="s">
        <v>303</v>
      </c>
      <c r="B248" t="s">
        <v>58</v>
      </c>
      <c r="C248" t="s">
        <v>59</v>
      </c>
      <c r="D248" t="s">
        <v>18</v>
      </c>
      <c r="E248">
        <v>22</v>
      </c>
      <c r="F248" t="s">
        <v>34</v>
      </c>
      <c r="G248" t="s">
        <v>20</v>
      </c>
      <c r="H248" t="s">
        <v>54</v>
      </c>
      <c r="I248" s="1">
        <v>44450</v>
      </c>
      <c r="J248" s="1">
        <v>44459</v>
      </c>
      <c r="L248">
        <v>1</v>
      </c>
      <c r="M248">
        <v>10</v>
      </c>
      <c r="N248" t="s">
        <v>45</v>
      </c>
      <c r="O248">
        <v>978731</v>
      </c>
      <c r="U248">
        <f>Table1[[#This Row],[Interview_Date]]-Table1[[#This Row],[Application_Date]]</f>
        <v>9</v>
      </c>
      <c r="V248" t="str">
        <f>IF(OR(Table1[[#This Row],[Offer_Date]]="",Table1[[#This Row],[Interview_Date]]=""),"",Table1[[#This Row],[Offer_Date]]-Table1[[#This Row],[Interview_Date]])</f>
        <v/>
      </c>
    </row>
    <row r="249" spans="1:22" x14ac:dyDescent="0.3">
      <c r="A249" t="s">
        <v>304</v>
      </c>
      <c r="B249" t="s">
        <v>16</v>
      </c>
      <c r="C249" t="s">
        <v>17</v>
      </c>
      <c r="D249" t="s">
        <v>18</v>
      </c>
      <c r="E249">
        <v>21</v>
      </c>
      <c r="F249" t="s">
        <v>74</v>
      </c>
      <c r="G249" t="s">
        <v>35</v>
      </c>
      <c r="H249" t="s">
        <v>54</v>
      </c>
      <c r="I249" s="1">
        <v>45256</v>
      </c>
      <c r="J249" s="1">
        <v>45269</v>
      </c>
      <c r="L249">
        <v>3</v>
      </c>
      <c r="M249">
        <v>8</v>
      </c>
      <c r="N249" t="s">
        <v>28</v>
      </c>
      <c r="O249">
        <v>1056015</v>
      </c>
      <c r="U249">
        <f>Table1[[#This Row],[Interview_Date]]-Table1[[#This Row],[Application_Date]]</f>
        <v>13</v>
      </c>
      <c r="V249" t="str">
        <f>IF(OR(Table1[[#This Row],[Offer_Date]]="",Table1[[#This Row],[Interview_Date]]=""),"",Table1[[#This Row],[Offer_Date]]-Table1[[#This Row],[Interview_Date]])</f>
        <v/>
      </c>
    </row>
    <row r="250" spans="1:22" x14ac:dyDescent="0.3">
      <c r="A250" t="s">
        <v>305</v>
      </c>
      <c r="B250" t="s">
        <v>72</v>
      </c>
      <c r="C250" t="s">
        <v>50</v>
      </c>
      <c r="D250" t="s">
        <v>26</v>
      </c>
      <c r="E250">
        <v>34</v>
      </c>
      <c r="F250" t="s">
        <v>34</v>
      </c>
      <c r="G250" t="s">
        <v>44</v>
      </c>
      <c r="H250" t="s">
        <v>36</v>
      </c>
      <c r="I250" s="1">
        <v>45015</v>
      </c>
      <c r="J250" s="1">
        <v>45028</v>
      </c>
      <c r="K250" s="1">
        <v>45033</v>
      </c>
      <c r="L250">
        <v>2</v>
      </c>
      <c r="M250">
        <v>2</v>
      </c>
      <c r="N250" t="s">
        <v>28</v>
      </c>
      <c r="O250">
        <v>721187</v>
      </c>
      <c r="U250">
        <f>Table1[[#This Row],[Interview_Date]]-Table1[[#This Row],[Application_Date]]</f>
        <v>13</v>
      </c>
      <c r="V250">
        <f>IF(OR(Table1[[#This Row],[Offer_Date]]="",Table1[[#This Row],[Interview_Date]]=""),"",Table1[[#This Row],[Offer_Date]]-Table1[[#This Row],[Interview_Date]])</f>
        <v>5</v>
      </c>
    </row>
    <row r="251" spans="1:22" x14ac:dyDescent="0.3">
      <c r="A251" t="s">
        <v>306</v>
      </c>
      <c r="B251" t="s">
        <v>58</v>
      </c>
      <c r="C251" t="s">
        <v>43</v>
      </c>
      <c r="D251" t="s">
        <v>26</v>
      </c>
      <c r="E251">
        <v>32</v>
      </c>
      <c r="F251" t="s">
        <v>19</v>
      </c>
      <c r="G251" t="s">
        <v>20</v>
      </c>
      <c r="H251" t="s">
        <v>51</v>
      </c>
      <c r="I251" s="1">
        <v>45210</v>
      </c>
      <c r="J251" s="1">
        <v>45220</v>
      </c>
      <c r="K251" s="1">
        <v>45225</v>
      </c>
      <c r="L251">
        <v>1</v>
      </c>
      <c r="M251">
        <v>10</v>
      </c>
      <c r="N251" t="s">
        <v>28</v>
      </c>
      <c r="O251">
        <v>561175</v>
      </c>
      <c r="U251">
        <f>Table1[[#This Row],[Interview_Date]]-Table1[[#This Row],[Application_Date]]</f>
        <v>10</v>
      </c>
      <c r="V251">
        <f>IF(OR(Table1[[#This Row],[Offer_Date]]="",Table1[[#This Row],[Interview_Date]]=""),"",Table1[[#This Row],[Offer_Date]]-Table1[[#This Row],[Interview_Date]])</f>
        <v>5</v>
      </c>
    </row>
    <row r="252" spans="1:22" x14ac:dyDescent="0.3">
      <c r="A252" t="s">
        <v>307</v>
      </c>
      <c r="B252" t="s">
        <v>33</v>
      </c>
      <c r="C252" t="s">
        <v>25</v>
      </c>
      <c r="D252" t="s">
        <v>18</v>
      </c>
      <c r="E252">
        <v>27</v>
      </c>
      <c r="F252" t="s">
        <v>39</v>
      </c>
      <c r="G252" t="s">
        <v>44</v>
      </c>
      <c r="H252" t="s">
        <v>54</v>
      </c>
      <c r="I252" s="1">
        <v>44490</v>
      </c>
      <c r="J252" s="1">
        <v>44494</v>
      </c>
      <c r="L252">
        <v>1</v>
      </c>
      <c r="M252">
        <v>2</v>
      </c>
      <c r="N252" t="s">
        <v>22</v>
      </c>
      <c r="O252">
        <v>689137</v>
      </c>
      <c r="U252">
        <f>Table1[[#This Row],[Interview_Date]]-Table1[[#This Row],[Application_Date]]</f>
        <v>4</v>
      </c>
      <c r="V252" t="str">
        <f>IF(OR(Table1[[#This Row],[Offer_Date]]="",Table1[[#This Row],[Interview_Date]]=""),"",Table1[[#This Row],[Offer_Date]]-Table1[[#This Row],[Interview_Date]])</f>
        <v/>
      </c>
    </row>
    <row r="253" spans="1:22" x14ac:dyDescent="0.3">
      <c r="A253" t="s">
        <v>308</v>
      </c>
      <c r="B253" t="s">
        <v>33</v>
      </c>
      <c r="C253" t="s">
        <v>43</v>
      </c>
      <c r="D253" t="s">
        <v>18</v>
      </c>
      <c r="E253">
        <v>45</v>
      </c>
      <c r="F253" t="s">
        <v>56</v>
      </c>
      <c r="G253" t="s">
        <v>27</v>
      </c>
      <c r="H253" t="s">
        <v>51</v>
      </c>
      <c r="I253" s="1">
        <v>44378</v>
      </c>
      <c r="J253" s="1">
        <v>44381</v>
      </c>
      <c r="L253">
        <v>1</v>
      </c>
      <c r="M253">
        <v>3</v>
      </c>
      <c r="N253" t="s">
        <v>22</v>
      </c>
      <c r="O253">
        <v>1051231</v>
      </c>
      <c r="U253">
        <f>Table1[[#This Row],[Interview_Date]]-Table1[[#This Row],[Application_Date]]</f>
        <v>3</v>
      </c>
      <c r="V253" t="str">
        <f>IF(OR(Table1[[#This Row],[Offer_Date]]="",Table1[[#This Row],[Interview_Date]]=""),"",Table1[[#This Row],[Offer_Date]]-Table1[[#This Row],[Interview_Date]])</f>
        <v/>
      </c>
    </row>
    <row r="254" spans="1:22" x14ac:dyDescent="0.3">
      <c r="A254" t="s">
        <v>309</v>
      </c>
      <c r="B254" t="s">
        <v>72</v>
      </c>
      <c r="C254" t="s">
        <v>94</v>
      </c>
      <c r="D254" t="s">
        <v>26</v>
      </c>
      <c r="E254">
        <v>21</v>
      </c>
      <c r="F254" t="s">
        <v>39</v>
      </c>
      <c r="G254" t="s">
        <v>35</v>
      </c>
      <c r="H254" t="s">
        <v>40</v>
      </c>
      <c r="I254" s="1">
        <v>44912</v>
      </c>
      <c r="J254" s="1">
        <v>44916</v>
      </c>
      <c r="L254">
        <v>1</v>
      </c>
      <c r="M254">
        <v>7</v>
      </c>
      <c r="N254" t="s">
        <v>45</v>
      </c>
      <c r="O254">
        <v>619195</v>
      </c>
      <c r="U254">
        <f>Table1[[#This Row],[Interview_Date]]-Table1[[#This Row],[Application_Date]]</f>
        <v>4</v>
      </c>
      <c r="V254" t="str">
        <f>IF(OR(Table1[[#This Row],[Offer_Date]]="",Table1[[#This Row],[Interview_Date]]=""),"",Table1[[#This Row],[Offer_Date]]-Table1[[#This Row],[Interview_Date]])</f>
        <v/>
      </c>
    </row>
    <row r="255" spans="1:22" x14ac:dyDescent="0.3">
      <c r="A255" t="s">
        <v>310</v>
      </c>
      <c r="B255" t="s">
        <v>65</v>
      </c>
      <c r="C255" t="s">
        <v>30</v>
      </c>
      <c r="D255" t="s">
        <v>18</v>
      </c>
      <c r="E255">
        <v>43</v>
      </c>
      <c r="F255" t="s">
        <v>31</v>
      </c>
      <c r="G255" t="s">
        <v>60</v>
      </c>
      <c r="H255" t="s">
        <v>21</v>
      </c>
      <c r="I255" s="1">
        <v>44959</v>
      </c>
      <c r="J255" s="1">
        <v>44967</v>
      </c>
      <c r="K255" s="1">
        <v>44971</v>
      </c>
      <c r="L255">
        <v>3</v>
      </c>
      <c r="M255">
        <v>9</v>
      </c>
      <c r="N255" t="s">
        <v>28</v>
      </c>
      <c r="O255">
        <v>791743</v>
      </c>
      <c r="U255">
        <f>Table1[[#This Row],[Interview_Date]]-Table1[[#This Row],[Application_Date]]</f>
        <v>8</v>
      </c>
      <c r="V255">
        <f>IF(OR(Table1[[#This Row],[Offer_Date]]="",Table1[[#This Row],[Interview_Date]]=""),"",Table1[[#This Row],[Offer_Date]]-Table1[[#This Row],[Interview_Date]])</f>
        <v>4</v>
      </c>
    </row>
    <row r="256" spans="1:22" x14ac:dyDescent="0.3">
      <c r="A256" t="s">
        <v>311</v>
      </c>
      <c r="B256" t="s">
        <v>58</v>
      </c>
      <c r="C256" t="s">
        <v>69</v>
      </c>
      <c r="D256" t="s">
        <v>26</v>
      </c>
      <c r="E256">
        <v>44</v>
      </c>
      <c r="F256" t="s">
        <v>39</v>
      </c>
      <c r="G256" t="s">
        <v>20</v>
      </c>
      <c r="H256" t="s">
        <v>21</v>
      </c>
      <c r="I256" s="1">
        <v>44753</v>
      </c>
      <c r="J256" s="1">
        <v>44759</v>
      </c>
      <c r="K256" s="1">
        <v>44765</v>
      </c>
      <c r="L256">
        <v>1</v>
      </c>
      <c r="M256">
        <v>4</v>
      </c>
      <c r="N256" t="s">
        <v>45</v>
      </c>
      <c r="O256">
        <v>518395</v>
      </c>
      <c r="U256">
        <f>Table1[[#This Row],[Interview_Date]]-Table1[[#This Row],[Application_Date]]</f>
        <v>6</v>
      </c>
      <c r="V256">
        <f>IF(OR(Table1[[#This Row],[Offer_Date]]="",Table1[[#This Row],[Interview_Date]]=""),"",Table1[[#This Row],[Offer_Date]]-Table1[[#This Row],[Interview_Date]])</f>
        <v>6</v>
      </c>
    </row>
    <row r="257" spans="1:22" x14ac:dyDescent="0.3">
      <c r="A257" t="s">
        <v>312</v>
      </c>
      <c r="B257" t="s">
        <v>65</v>
      </c>
      <c r="C257" t="s">
        <v>25</v>
      </c>
      <c r="D257" t="s">
        <v>18</v>
      </c>
      <c r="E257">
        <v>34</v>
      </c>
      <c r="F257" t="s">
        <v>34</v>
      </c>
      <c r="G257" t="s">
        <v>44</v>
      </c>
      <c r="H257" t="s">
        <v>51</v>
      </c>
      <c r="I257" s="1">
        <v>45178</v>
      </c>
      <c r="J257" s="1">
        <v>45192</v>
      </c>
      <c r="L257">
        <v>5</v>
      </c>
      <c r="M257">
        <v>2</v>
      </c>
      <c r="N257" t="s">
        <v>48</v>
      </c>
      <c r="O257">
        <v>1044472</v>
      </c>
      <c r="U257">
        <f>Table1[[#This Row],[Interview_Date]]-Table1[[#This Row],[Application_Date]]</f>
        <v>14</v>
      </c>
      <c r="V257" t="str">
        <f>IF(OR(Table1[[#This Row],[Offer_Date]]="",Table1[[#This Row],[Interview_Date]]=""),"",Table1[[#This Row],[Offer_Date]]-Table1[[#This Row],[Interview_Date]])</f>
        <v/>
      </c>
    </row>
    <row r="258" spans="1:22" x14ac:dyDescent="0.3">
      <c r="A258" t="s">
        <v>313</v>
      </c>
      <c r="B258" t="s">
        <v>47</v>
      </c>
      <c r="C258" t="s">
        <v>59</v>
      </c>
      <c r="D258" t="s">
        <v>18</v>
      </c>
      <c r="E258">
        <v>42</v>
      </c>
      <c r="F258" t="s">
        <v>19</v>
      </c>
      <c r="G258" t="s">
        <v>27</v>
      </c>
      <c r="H258" t="s">
        <v>36</v>
      </c>
      <c r="I258" s="1">
        <v>44657</v>
      </c>
      <c r="J258" s="1">
        <v>44670</v>
      </c>
      <c r="K258" s="1">
        <v>44675</v>
      </c>
      <c r="L258">
        <v>1</v>
      </c>
      <c r="M258">
        <v>2</v>
      </c>
      <c r="N258" t="s">
        <v>48</v>
      </c>
      <c r="O258">
        <v>667592</v>
      </c>
      <c r="U258">
        <f>Table1[[#This Row],[Interview_Date]]-Table1[[#This Row],[Application_Date]]</f>
        <v>13</v>
      </c>
      <c r="V258">
        <f>IF(OR(Table1[[#This Row],[Offer_Date]]="",Table1[[#This Row],[Interview_Date]]=""),"",Table1[[#This Row],[Offer_Date]]-Table1[[#This Row],[Interview_Date]])</f>
        <v>5</v>
      </c>
    </row>
    <row r="259" spans="1:22" x14ac:dyDescent="0.3">
      <c r="A259" t="s">
        <v>314</v>
      </c>
      <c r="B259" t="s">
        <v>24</v>
      </c>
      <c r="C259" t="s">
        <v>53</v>
      </c>
      <c r="D259" t="s">
        <v>18</v>
      </c>
      <c r="E259">
        <v>30</v>
      </c>
      <c r="F259" t="s">
        <v>39</v>
      </c>
      <c r="G259" t="s">
        <v>60</v>
      </c>
      <c r="H259" t="s">
        <v>54</v>
      </c>
      <c r="I259" s="1">
        <v>45231</v>
      </c>
      <c r="J259" s="1">
        <v>45244</v>
      </c>
      <c r="L259">
        <v>2</v>
      </c>
      <c r="M259">
        <v>5</v>
      </c>
      <c r="N259" t="s">
        <v>45</v>
      </c>
      <c r="O259">
        <v>771415</v>
      </c>
      <c r="U259">
        <f>Table1[[#This Row],[Interview_Date]]-Table1[[#This Row],[Application_Date]]</f>
        <v>13</v>
      </c>
      <c r="V259" t="str">
        <f>IF(OR(Table1[[#This Row],[Offer_Date]]="",Table1[[#This Row],[Interview_Date]]=""),"",Table1[[#This Row],[Offer_Date]]-Table1[[#This Row],[Interview_Date]])</f>
        <v/>
      </c>
    </row>
    <row r="260" spans="1:22" x14ac:dyDescent="0.3">
      <c r="A260" t="s">
        <v>315</v>
      </c>
      <c r="B260" t="s">
        <v>72</v>
      </c>
      <c r="C260" t="s">
        <v>17</v>
      </c>
      <c r="D260" t="s">
        <v>18</v>
      </c>
      <c r="E260">
        <v>33</v>
      </c>
      <c r="F260" t="s">
        <v>74</v>
      </c>
      <c r="G260" t="s">
        <v>20</v>
      </c>
      <c r="H260" t="s">
        <v>40</v>
      </c>
      <c r="I260" s="1">
        <v>45145</v>
      </c>
      <c r="J260" s="1">
        <v>45153</v>
      </c>
      <c r="K260" s="1">
        <v>45156</v>
      </c>
      <c r="L260">
        <v>5</v>
      </c>
      <c r="M260">
        <v>8</v>
      </c>
      <c r="N260" t="s">
        <v>45</v>
      </c>
      <c r="O260">
        <v>1105568</v>
      </c>
      <c r="U260">
        <f>Table1[[#This Row],[Interview_Date]]-Table1[[#This Row],[Application_Date]]</f>
        <v>8</v>
      </c>
      <c r="V260">
        <f>IF(OR(Table1[[#This Row],[Offer_Date]]="",Table1[[#This Row],[Interview_Date]]=""),"",Table1[[#This Row],[Offer_Date]]-Table1[[#This Row],[Interview_Date]])</f>
        <v>3</v>
      </c>
    </row>
    <row r="261" spans="1:22" x14ac:dyDescent="0.3">
      <c r="A261" t="s">
        <v>316</v>
      </c>
      <c r="B261" t="s">
        <v>47</v>
      </c>
      <c r="C261" t="s">
        <v>30</v>
      </c>
      <c r="D261" t="s">
        <v>26</v>
      </c>
      <c r="E261">
        <v>31</v>
      </c>
      <c r="F261" t="s">
        <v>19</v>
      </c>
      <c r="G261" t="s">
        <v>35</v>
      </c>
      <c r="H261" t="s">
        <v>54</v>
      </c>
      <c r="I261" s="1">
        <v>44759</v>
      </c>
      <c r="J261" s="1">
        <v>44773</v>
      </c>
      <c r="K261" s="1">
        <v>44777</v>
      </c>
      <c r="L261">
        <v>3</v>
      </c>
      <c r="M261">
        <v>6</v>
      </c>
      <c r="N261" t="s">
        <v>28</v>
      </c>
      <c r="O261">
        <v>330795</v>
      </c>
      <c r="U261">
        <f>Table1[[#This Row],[Interview_Date]]-Table1[[#This Row],[Application_Date]]</f>
        <v>14</v>
      </c>
      <c r="V261">
        <f>IF(OR(Table1[[#This Row],[Offer_Date]]="",Table1[[#This Row],[Interview_Date]]=""),"",Table1[[#This Row],[Offer_Date]]-Table1[[#This Row],[Interview_Date]])</f>
        <v>4</v>
      </c>
    </row>
    <row r="262" spans="1:22" x14ac:dyDescent="0.3">
      <c r="A262" t="s">
        <v>317</v>
      </c>
      <c r="B262" t="s">
        <v>33</v>
      </c>
      <c r="C262" t="s">
        <v>94</v>
      </c>
      <c r="D262" t="s">
        <v>26</v>
      </c>
      <c r="E262">
        <v>37</v>
      </c>
      <c r="F262" t="s">
        <v>74</v>
      </c>
      <c r="G262" t="s">
        <v>27</v>
      </c>
      <c r="H262" t="s">
        <v>21</v>
      </c>
      <c r="I262" s="1">
        <v>45050</v>
      </c>
      <c r="J262" s="1">
        <v>45058</v>
      </c>
      <c r="L262">
        <v>4</v>
      </c>
      <c r="M262">
        <v>5</v>
      </c>
      <c r="N262" t="s">
        <v>48</v>
      </c>
      <c r="O262">
        <v>432165</v>
      </c>
      <c r="U262">
        <f>Table1[[#This Row],[Interview_Date]]-Table1[[#This Row],[Application_Date]]</f>
        <v>8</v>
      </c>
      <c r="V262" t="str">
        <f>IF(OR(Table1[[#This Row],[Offer_Date]]="",Table1[[#This Row],[Interview_Date]]=""),"",Table1[[#This Row],[Offer_Date]]-Table1[[#This Row],[Interview_Date]])</f>
        <v/>
      </c>
    </row>
    <row r="263" spans="1:22" x14ac:dyDescent="0.3">
      <c r="A263" t="s">
        <v>318</v>
      </c>
      <c r="B263" t="s">
        <v>72</v>
      </c>
      <c r="C263" t="s">
        <v>30</v>
      </c>
      <c r="D263" t="s">
        <v>18</v>
      </c>
      <c r="E263">
        <v>42</v>
      </c>
      <c r="F263" t="s">
        <v>74</v>
      </c>
      <c r="G263" t="s">
        <v>27</v>
      </c>
      <c r="H263" t="s">
        <v>51</v>
      </c>
      <c r="I263" s="1">
        <v>44877</v>
      </c>
      <c r="J263" s="1">
        <v>44886</v>
      </c>
      <c r="K263" s="1">
        <v>44888</v>
      </c>
      <c r="L263">
        <v>1</v>
      </c>
      <c r="M263">
        <v>8</v>
      </c>
      <c r="N263" t="s">
        <v>22</v>
      </c>
      <c r="O263">
        <v>527567</v>
      </c>
      <c r="U263">
        <f>Table1[[#This Row],[Interview_Date]]-Table1[[#This Row],[Application_Date]]</f>
        <v>9</v>
      </c>
      <c r="V263">
        <f>IF(OR(Table1[[#This Row],[Offer_Date]]="",Table1[[#This Row],[Interview_Date]]=""),"",Table1[[#This Row],[Offer_Date]]-Table1[[#This Row],[Interview_Date]])</f>
        <v>2</v>
      </c>
    </row>
    <row r="264" spans="1:22" x14ac:dyDescent="0.3">
      <c r="A264" t="s">
        <v>319</v>
      </c>
      <c r="B264" t="s">
        <v>24</v>
      </c>
      <c r="C264" t="s">
        <v>50</v>
      </c>
      <c r="D264" t="s">
        <v>26</v>
      </c>
      <c r="E264">
        <v>36</v>
      </c>
      <c r="F264" t="s">
        <v>56</v>
      </c>
      <c r="G264" t="s">
        <v>20</v>
      </c>
      <c r="H264" t="s">
        <v>40</v>
      </c>
      <c r="I264" s="1">
        <v>45116</v>
      </c>
      <c r="J264" s="1">
        <v>45121</v>
      </c>
      <c r="L264">
        <v>1</v>
      </c>
      <c r="M264">
        <v>6</v>
      </c>
      <c r="N264" t="s">
        <v>48</v>
      </c>
      <c r="O264">
        <v>1148402</v>
      </c>
      <c r="U264">
        <f>Table1[[#This Row],[Interview_Date]]-Table1[[#This Row],[Application_Date]]</f>
        <v>5</v>
      </c>
      <c r="V264" t="str">
        <f>IF(OR(Table1[[#This Row],[Offer_Date]]="",Table1[[#This Row],[Interview_Date]]=""),"",Table1[[#This Row],[Offer_Date]]-Table1[[#This Row],[Interview_Date]])</f>
        <v/>
      </c>
    </row>
    <row r="265" spans="1:22" x14ac:dyDescent="0.3">
      <c r="A265" t="s">
        <v>320</v>
      </c>
      <c r="B265" t="s">
        <v>65</v>
      </c>
      <c r="C265" t="s">
        <v>43</v>
      </c>
      <c r="D265" t="s">
        <v>26</v>
      </c>
      <c r="E265">
        <v>32</v>
      </c>
      <c r="F265" t="s">
        <v>31</v>
      </c>
      <c r="G265" t="s">
        <v>60</v>
      </c>
      <c r="H265" t="s">
        <v>36</v>
      </c>
      <c r="I265" s="1">
        <v>44430</v>
      </c>
      <c r="J265" s="1">
        <v>44443</v>
      </c>
      <c r="K265" s="1">
        <v>44446</v>
      </c>
      <c r="L265">
        <v>3</v>
      </c>
      <c r="M265">
        <v>3</v>
      </c>
      <c r="N265" t="s">
        <v>28</v>
      </c>
      <c r="O265">
        <v>633439</v>
      </c>
      <c r="U265">
        <f>Table1[[#This Row],[Interview_Date]]-Table1[[#This Row],[Application_Date]]</f>
        <v>13</v>
      </c>
      <c r="V265">
        <f>IF(OR(Table1[[#This Row],[Offer_Date]]="",Table1[[#This Row],[Interview_Date]]=""),"",Table1[[#This Row],[Offer_Date]]-Table1[[#This Row],[Interview_Date]])</f>
        <v>3</v>
      </c>
    </row>
    <row r="266" spans="1:22" x14ac:dyDescent="0.3">
      <c r="A266" t="s">
        <v>321</v>
      </c>
      <c r="B266" t="s">
        <v>42</v>
      </c>
      <c r="C266" t="s">
        <v>43</v>
      </c>
      <c r="D266" t="s">
        <v>18</v>
      </c>
      <c r="E266">
        <v>41</v>
      </c>
      <c r="F266" t="s">
        <v>19</v>
      </c>
      <c r="G266" t="s">
        <v>20</v>
      </c>
      <c r="H266" t="s">
        <v>36</v>
      </c>
      <c r="I266" s="1">
        <v>45239</v>
      </c>
      <c r="J266" s="1">
        <v>45246</v>
      </c>
      <c r="L266">
        <v>3</v>
      </c>
      <c r="M266">
        <v>8</v>
      </c>
      <c r="N266" t="s">
        <v>48</v>
      </c>
      <c r="O266">
        <v>915453</v>
      </c>
      <c r="U266">
        <f>Table1[[#This Row],[Interview_Date]]-Table1[[#This Row],[Application_Date]]</f>
        <v>7</v>
      </c>
      <c r="V266" t="str">
        <f>IF(OR(Table1[[#This Row],[Offer_Date]]="",Table1[[#This Row],[Interview_Date]]=""),"",Table1[[#This Row],[Offer_Date]]-Table1[[#This Row],[Interview_Date]])</f>
        <v/>
      </c>
    </row>
    <row r="267" spans="1:22" x14ac:dyDescent="0.3">
      <c r="A267" t="s">
        <v>322</v>
      </c>
      <c r="B267" t="s">
        <v>47</v>
      </c>
      <c r="C267" t="s">
        <v>59</v>
      </c>
      <c r="D267" t="s">
        <v>18</v>
      </c>
      <c r="E267">
        <v>33</v>
      </c>
      <c r="F267" t="s">
        <v>74</v>
      </c>
      <c r="G267" t="s">
        <v>44</v>
      </c>
      <c r="H267" t="s">
        <v>36</v>
      </c>
      <c r="I267" s="1">
        <v>44403</v>
      </c>
      <c r="J267" s="1">
        <v>44416</v>
      </c>
      <c r="K267" s="1">
        <v>44421</v>
      </c>
      <c r="L267">
        <v>3</v>
      </c>
      <c r="M267">
        <v>7</v>
      </c>
      <c r="N267" t="s">
        <v>48</v>
      </c>
      <c r="O267">
        <v>645276</v>
      </c>
      <c r="U267">
        <f>Table1[[#This Row],[Interview_Date]]-Table1[[#This Row],[Application_Date]]</f>
        <v>13</v>
      </c>
      <c r="V267">
        <f>IF(OR(Table1[[#This Row],[Offer_Date]]="",Table1[[#This Row],[Interview_Date]]=""),"",Table1[[#This Row],[Offer_Date]]-Table1[[#This Row],[Interview_Date]])</f>
        <v>5</v>
      </c>
    </row>
    <row r="268" spans="1:22" x14ac:dyDescent="0.3">
      <c r="A268" t="s">
        <v>323</v>
      </c>
      <c r="B268" t="s">
        <v>47</v>
      </c>
      <c r="C268" t="s">
        <v>25</v>
      </c>
      <c r="D268" t="s">
        <v>26</v>
      </c>
      <c r="E268">
        <v>44</v>
      </c>
      <c r="F268" t="s">
        <v>31</v>
      </c>
      <c r="G268" t="s">
        <v>20</v>
      </c>
      <c r="H268" t="s">
        <v>36</v>
      </c>
      <c r="I268" s="1">
        <v>45065</v>
      </c>
      <c r="J268" s="1">
        <v>45080</v>
      </c>
      <c r="L268">
        <v>4</v>
      </c>
      <c r="M268">
        <v>2</v>
      </c>
      <c r="N268" t="s">
        <v>48</v>
      </c>
      <c r="O268">
        <v>811607</v>
      </c>
      <c r="U268">
        <f>Table1[[#This Row],[Interview_Date]]-Table1[[#This Row],[Application_Date]]</f>
        <v>15</v>
      </c>
      <c r="V268" t="str">
        <f>IF(OR(Table1[[#This Row],[Offer_Date]]="",Table1[[#This Row],[Interview_Date]]=""),"",Table1[[#This Row],[Offer_Date]]-Table1[[#This Row],[Interview_Date]])</f>
        <v/>
      </c>
    </row>
    <row r="269" spans="1:22" x14ac:dyDescent="0.3">
      <c r="A269" t="s">
        <v>324</v>
      </c>
      <c r="B269" t="s">
        <v>47</v>
      </c>
      <c r="C269" t="s">
        <v>53</v>
      </c>
      <c r="D269" t="s">
        <v>26</v>
      </c>
      <c r="E269">
        <v>24</v>
      </c>
      <c r="F269" t="s">
        <v>31</v>
      </c>
      <c r="G269" t="s">
        <v>20</v>
      </c>
      <c r="H269" t="s">
        <v>21</v>
      </c>
      <c r="I269" s="1">
        <v>44603</v>
      </c>
      <c r="J269" s="1">
        <v>44607</v>
      </c>
      <c r="L269">
        <v>3</v>
      </c>
      <c r="M269">
        <v>6</v>
      </c>
      <c r="N269" t="s">
        <v>28</v>
      </c>
      <c r="O269">
        <v>751584</v>
      </c>
      <c r="U269">
        <f>Table1[[#This Row],[Interview_Date]]-Table1[[#This Row],[Application_Date]]</f>
        <v>4</v>
      </c>
      <c r="V269" t="str">
        <f>IF(OR(Table1[[#This Row],[Offer_Date]]="",Table1[[#This Row],[Interview_Date]]=""),"",Table1[[#This Row],[Offer_Date]]-Table1[[#This Row],[Interview_Date]])</f>
        <v/>
      </c>
    </row>
    <row r="270" spans="1:22" x14ac:dyDescent="0.3">
      <c r="A270" t="s">
        <v>325</v>
      </c>
      <c r="B270" t="s">
        <v>24</v>
      </c>
      <c r="C270" t="s">
        <v>69</v>
      </c>
      <c r="D270" t="s">
        <v>18</v>
      </c>
      <c r="E270">
        <v>34</v>
      </c>
      <c r="F270" t="s">
        <v>56</v>
      </c>
      <c r="G270" t="s">
        <v>44</v>
      </c>
      <c r="H270" t="s">
        <v>21</v>
      </c>
      <c r="I270" s="1">
        <v>45077</v>
      </c>
      <c r="J270" s="1">
        <v>45087</v>
      </c>
      <c r="K270" s="1">
        <v>45089</v>
      </c>
      <c r="L270">
        <v>4</v>
      </c>
      <c r="M270">
        <v>3</v>
      </c>
      <c r="N270" t="s">
        <v>45</v>
      </c>
      <c r="O270">
        <v>756936</v>
      </c>
      <c r="U270">
        <f>Table1[[#This Row],[Interview_Date]]-Table1[[#This Row],[Application_Date]]</f>
        <v>10</v>
      </c>
      <c r="V270">
        <f>IF(OR(Table1[[#This Row],[Offer_Date]]="",Table1[[#This Row],[Interview_Date]]=""),"",Table1[[#This Row],[Offer_Date]]-Table1[[#This Row],[Interview_Date]])</f>
        <v>2</v>
      </c>
    </row>
    <row r="271" spans="1:22" x14ac:dyDescent="0.3">
      <c r="A271" t="s">
        <v>326</v>
      </c>
      <c r="B271" t="s">
        <v>63</v>
      </c>
      <c r="C271" t="s">
        <v>50</v>
      </c>
      <c r="D271" t="s">
        <v>18</v>
      </c>
      <c r="E271">
        <v>26</v>
      </c>
      <c r="F271" t="s">
        <v>39</v>
      </c>
      <c r="G271" t="s">
        <v>35</v>
      </c>
      <c r="H271" t="s">
        <v>51</v>
      </c>
      <c r="I271" s="1">
        <v>44390</v>
      </c>
      <c r="J271" s="1">
        <v>44398</v>
      </c>
      <c r="K271" s="1">
        <v>44405</v>
      </c>
      <c r="L271">
        <v>5</v>
      </c>
      <c r="M271">
        <v>5</v>
      </c>
      <c r="N271" t="s">
        <v>45</v>
      </c>
      <c r="O271">
        <v>971336</v>
      </c>
      <c r="U271">
        <f>Table1[[#This Row],[Interview_Date]]-Table1[[#This Row],[Application_Date]]</f>
        <v>8</v>
      </c>
      <c r="V271">
        <f>IF(OR(Table1[[#This Row],[Offer_Date]]="",Table1[[#This Row],[Interview_Date]]=""),"",Table1[[#This Row],[Offer_Date]]-Table1[[#This Row],[Interview_Date]])</f>
        <v>7</v>
      </c>
    </row>
    <row r="272" spans="1:22" x14ac:dyDescent="0.3">
      <c r="A272" t="s">
        <v>327</v>
      </c>
      <c r="B272" t="s">
        <v>42</v>
      </c>
      <c r="C272" t="s">
        <v>53</v>
      </c>
      <c r="D272" t="s">
        <v>26</v>
      </c>
      <c r="E272">
        <v>26</v>
      </c>
      <c r="F272" t="s">
        <v>74</v>
      </c>
      <c r="G272" t="s">
        <v>35</v>
      </c>
      <c r="H272" t="s">
        <v>21</v>
      </c>
      <c r="I272" s="1">
        <v>44727</v>
      </c>
      <c r="J272" s="1">
        <v>44738</v>
      </c>
      <c r="K272" s="1">
        <v>44740</v>
      </c>
      <c r="L272">
        <v>3</v>
      </c>
      <c r="M272">
        <v>7</v>
      </c>
      <c r="N272" t="s">
        <v>48</v>
      </c>
      <c r="O272">
        <v>486853</v>
      </c>
      <c r="U272">
        <f>Table1[[#This Row],[Interview_Date]]-Table1[[#This Row],[Application_Date]]</f>
        <v>11</v>
      </c>
      <c r="V272">
        <f>IF(OR(Table1[[#This Row],[Offer_Date]]="",Table1[[#This Row],[Interview_Date]]=""),"",Table1[[#This Row],[Offer_Date]]-Table1[[#This Row],[Interview_Date]])</f>
        <v>2</v>
      </c>
    </row>
    <row r="273" spans="1:22" x14ac:dyDescent="0.3">
      <c r="A273" t="s">
        <v>328</v>
      </c>
      <c r="B273" t="s">
        <v>58</v>
      </c>
      <c r="C273" t="s">
        <v>66</v>
      </c>
      <c r="D273" t="s">
        <v>18</v>
      </c>
      <c r="E273">
        <v>22</v>
      </c>
      <c r="F273" t="s">
        <v>34</v>
      </c>
      <c r="G273" t="s">
        <v>20</v>
      </c>
      <c r="H273" t="s">
        <v>40</v>
      </c>
      <c r="I273" s="1">
        <v>44673</v>
      </c>
      <c r="J273" s="1">
        <v>44685</v>
      </c>
      <c r="L273">
        <v>1</v>
      </c>
      <c r="M273">
        <v>4</v>
      </c>
      <c r="N273" t="s">
        <v>22</v>
      </c>
      <c r="O273">
        <v>819621</v>
      </c>
      <c r="U273">
        <f>Table1[[#This Row],[Interview_Date]]-Table1[[#This Row],[Application_Date]]</f>
        <v>12</v>
      </c>
      <c r="V273" t="str">
        <f>IF(OR(Table1[[#This Row],[Offer_Date]]="",Table1[[#This Row],[Interview_Date]]=""),"",Table1[[#This Row],[Offer_Date]]-Table1[[#This Row],[Interview_Date]])</f>
        <v/>
      </c>
    </row>
    <row r="274" spans="1:22" x14ac:dyDescent="0.3">
      <c r="A274" t="s">
        <v>329</v>
      </c>
      <c r="B274" t="s">
        <v>72</v>
      </c>
      <c r="C274" t="s">
        <v>59</v>
      </c>
      <c r="D274" t="s">
        <v>18</v>
      </c>
      <c r="E274">
        <v>39</v>
      </c>
      <c r="F274" t="s">
        <v>19</v>
      </c>
      <c r="G274" t="s">
        <v>44</v>
      </c>
      <c r="H274" t="s">
        <v>51</v>
      </c>
      <c r="I274" s="1">
        <v>44480</v>
      </c>
      <c r="J274" s="1">
        <v>44495</v>
      </c>
      <c r="L274">
        <v>2</v>
      </c>
      <c r="M274">
        <v>9</v>
      </c>
      <c r="N274" t="s">
        <v>22</v>
      </c>
      <c r="O274">
        <v>422776</v>
      </c>
      <c r="U274">
        <f>Table1[[#This Row],[Interview_Date]]-Table1[[#This Row],[Application_Date]]</f>
        <v>15</v>
      </c>
      <c r="V274" t="str">
        <f>IF(OR(Table1[[#This Row],[Offer_Date]]="",Table1[[#This Row],[Interview_Date]]=""),"",Table1[[#This Row],[Offer_Date]]-Table1[[#This Row],[Interview_Date]])</f>
        <v/>
      </c>
    </row>
    <row r="275" spans="1:22" x14ac:dyDescent="0.3">
      <c r="A275" t="s">
        <v>330</v>
      </c>
      <c r="B275" t="s">
        <v>24</v>
      </c>
      <c r="C275" t="s">
        <v>66</v>
      </c>
      <c r="D275" t="s">
        <v>18</v>
      </c>
      <c r="E275">
        <v>34</v>
      </c>
      <c r="F275" t="s">
        <v>56</v>
      </c>
      <c r="G275" t="s">
        <v>27</v>
      </c>
      <c r="H275" t="s">
        <v>51</v>
      </c>
      <c r="I275" s="1">
        <v>45269</v>
      </c>
      <c r="J275" s="1">
        <v>45283</v>
      </c>
      <c r="L275">
        <v>5</v>
      </c>
      <c r="M275">
        <v>9</v>
      </c>
      <c r="N275" t="s">
        <v>45</v>
      </c>
      <c r="O275">
        <v>896599</v>
      </c>
      <c r="U275">
        <f>Table1[[#This Row],[Interview_Date]]-Table1[[#This Row],[Application_Date]]</f>
        <v>14</v>
      </c>
      <c r="V275" t="str">
        <f>IF(OR(Table1[[#This Row],[Offer_Date]]="",Table1[[#This Row],[Interview_Date]]=""),"",Table1[[#This Row],[Offer_Date]]-Table1[[#This Row],[Interview_Date]])</f>
        <v/>
      </c>
    </row>
    <row r="276" spans="1:22" x14ac:dyDescent="0.3">
      <c r="A276" t="s">
        <v>331</v>
      </c>
      <c r="B276" t="s">
        <v>16</v>
      </c>
      <c r="C276" t="s">
        <v>53</v>
      </c>
      <c r="D276" t="s">
        <v>26</v>
      </c>
      <c r="E276">
        <v>30</v>
      </c>
      <c r="F276" t="s">
        <v>19</v>
      </c>
      <c r="G276" t="s">
        <v>27</v>
      </c>
      <c r="H276" t="s">
        <v>21</v>
      </c>
      <c r="I276" s="1">
        <v>44450</v>
      </c>
      <c r="J276" s="1">
        <v>44463</v>
      </c>
      <c r="K276" s="1">
        <v>44469</v>
      </c>
      <c r="L276">
        <v>5</v>
      </c>
      <c r="M276">
        <v>8</v>
      </c>
      <c r="N276" t="s">
        <v>28</v>
      </c>
      <c r="O276">
        <v>591447</v>
      </c>
      <c r="U276">
        <f>Table1[[#This Row],[Interview_Date]]-Table1[[#This Row],[Application_Date]]</f>
        <v>13</v>
      </c>
      <c r="V276">
        <f>IF(OR(Table1[[#This Row],[Offer_Date]]="",Table1[[#This Row],[Interview_Date]]=""),"",Table1[[#This Row],[Offer_Date]]-Table1[[#This Row],[Interview_Date]])</f>
        <v>6</v>
      </c>
    </row>
    <row r="277" spans="1:22" x14ac:dyDescent="0.3">
      <c r="A277" t="s">
        <v>332</v>
      </c>
      <c r="B277" t="s">
        <v>42</v>
      </c>
      <c r="C277" t="s">
        <v>94</v>
      </c>
      <c r="D277" t="s">
        <v>26</v>
      </c>
      <c r="E277">
        <v>28</v>
      </c>
      <c r="F277" t="s">
        <v>19</v>
      </c>
      <c r="G277" t="s">
        <v>35</v>
      </c>
      <c r="H277" t="s">
        <v>54</v>
      </c>
      <c r="I277" s="1">
        <v>44770</v>
      </c>
      <c r="J277" s="1">
        <v>44780</v>
      </c>
      <c r="L277">
        <v>1</v>
      </c>
      <c r="M277">
        <v>8</v>
      </c>
      <c r="N277" t="s">
        <v>48</v>
      </c>
      <c r="O277">
        <v>1075430</v>
      </c>
      <c r="U277">
        <f>Table1[[#This Row],[Interview_Date]]-Table1[[#This Row],[Application_Date]]</f>
        <v>10</v>
      </c>
      <c r="V277" t="str">
        <f>IF(OR(Table1[[#This Row],[Offer_Date]]="",Table1[[#This Row],[Interview_Date]]=""),"",Table1[[#This Row],[Offer_Date]]-Table1[[#This Row],[Interview_Date]])</f>
        <v/>
      </c>
    </row>
    <row r="278" spans="1:22" x14ac:dyDescent="0.3">
      <c r="A278" t="s">
        <v>333</v>
      </c>
      <c r="B278" t="s">
        <v>58</v>
      </c>
      <c r="C278" t="s">
        <v>43</v>
      </c>
      <c r="D278" t="s">
        <v>26</v>
      </c>
      <c r="E278">
        <v>42</v>
      </c>
      <c r="F278" t="s">
        <v>19</v>
      </c>
      <c r="G278" t="s">
        <v>20</v>
      </c>
      <c r="H278" t="s">
        <v>36</v>
      </c>
      <c r="I278" s="1">
        <v>44808</v>
      </c>
      <c r="J278" s="1">
        <v>44812</v>
      </c>
      <c r="L278">
        <v>4</v>
      </c>
      <c r="M278">
        <v>10</v>
      </c>
      <c r="N278" t="s">
        <v>28</v>
      </c>
      <c r="O278">
        <v>436965</v>
      </c>
      <c r="U278">
        <f>Table1[[#This Row],[Interview_Date]]-Table1[[#This Row],[Application_Date]]</f>
        <v>4</v>
      </c>
      <c r="V278" t="str">
        <f>IF(OR(Table1[[#This Row],[Offer_Date]]="",Table1[[#This Row],[Interview_Date]]=""),"",Table1[[#This Row],[Offer_Date]]-Table1[[#This Row],[Interview_Date]])</f>
        <v/>
      </c>
    </row>
    <row r="279" spans="1:22" x14ac:dyDescent="0.3">
      <c r="A279" t="s">
        <v>334</v>
      </c>
      <c r="B279" t="s">
        <v>24</v>
      </c>
      <c r="C279" t="s">
        <v>30</v>
      </c>
      <c r="D279" t="s">
        <v>18</v>
      </c>
      <c r="E279">
        <v>42</v>
      </c>
      <c r="F279" t="s">
        <v>39</v>
      </c>
      <c r="G279" t="s">
        <v>27</v>
      </c>
      <c r="H279" t="s">
        <v>40</v>
      </c>
      <c r="I279" s="1">
        <v>44796</v>
      </c>
      <c r="J279" s="1">
        <v>44807</v>
      </c>
      <c r="K279" s="1">
        <v>44809</v>
      </c>
      <c r="L279">
        <v>3</v>
      </c>
      <c r="M279">
        <v>2</v>
      </c>
      <c r="N279" t="s">
        <v>48</v>
      </c>
      <c r="O279">
        <v>1018364</v>
      </c>
      <c r="U279">
        <f>Table1[[#This Row],[Interview_Date]]-Table1[[#This Row],[Application_Date]]</f>
        <v>11</v>
      </c>
      <c r="V279">
        <f>IF(OR(Table1[[#This Row],[Offer_Date]]="",Table1[[#This Row],[Interview_Date]]=""),"",Table1[[#This Row],[Offer_Date]]-Table1[[#This Row],[Interview_Date]])</f>
        <v>2</v>
      </c>
    </row>
    <row r="280" spans="1:22" x14ac:dyDescent="0.3">
      <c r="A280" t="s">
        <v>335</v>
      </c>
      <c r="B280" t="s">
        <v>38</v>
      </c>
      <c r="C280" t="s">
        <v>25</v>
      </c>
      <c r="D280" t="s">
        <v>26</v>
      </c>
      <c r="E280">
        <v>21</v>
      </c>
      <c r="F280" t="s">
        <v>34</v>
      </c>
      <c r="G280" t="s">
        <v>35</v>
      </c>
      <c r="H280" t="s">
        <v>36</v>
      </c>
      <c r="I280" s="1">
        <v>44730</v>
      </c>
      <c r="J280" s="1">
        <v>44742</v>
      </c>
      <c r="L280">
        <v>4</v>
      </c>
      <c r="M280">
        <v>8</v>
      </c>
      <c r="N280" t="s">
        <v>48</v>
      </c>
      <c r="O280">
        <v>1177822</v>
      </c>
      <c r="U280">
        <f>Table1[[#This Row],[Interview_Date]]-Table1[[#This Row],[Application_Date]]</f>
        <v>12</v>
      </c>
      <c r="V280" t="str">
        <f>IF(OR(Table1[[#This Row],[Offer_Date]]="",Table1[[#This Row],[Interview_Date]]=""),"",Table1[[#This Row],[Offer_Date]]-Table1[[#This Row],[Interview_Date]])</f>
        <v/>
      </c>
    </row>
    <row r="281" spans="1:22" x14ac:dyDescent="0.3">
      <c r="A281" t="s">
        <v>336</v>
      </c>
      <c r="B281" t="s">
        <v>16</v>
      </c>
      <c r="C281" t="s">
        <v>94</v>
      </c>
      <c r="D281" t="s">
        <v>18</v>
      </c>
      <c r="E281">
        <v>36</v>
      </c>
      <c r="F281" t="s">
        <v>56</v>
      </c>
      <c r="G281" t="s">
        <v>60</v>
      </c>
      <c r="H281" t="s">
        <v>40</v>
      </c>
      <c r="I281" s="1">
        <v>44314</v>
      </c>
      <c r="J281" s="1">
        <v>44320</v>
      </c>
      <c r="K281" s="1">
        <v>44324</v>
      </c>
      <c r="L281">
        <v>5</v>
      </c>
      <c r="M281">
        <v>4</v>
      </c>
      <c r="N281" t="s">
        <v>45</v>
      </c>
      <c r="O281">
        <v>413559</v>
      </c>
      <c r="U281">
        <f>Table1[[#This Row],[Interview_Date]]-Table1[[#This Row],[Application_Date]]</f>
        <v>6</v>
      </c>
      <c r="V281">
        <f>IF(OR(Table1[[#This Row],[Offer_Date]]="",Table1[[#This Row],[Interview_Date]]=""),"",Table1[[#This Row],[Offer_Date]]-Table1[[#This Row],[Interview_Date]])</f>
        <v>4</v>
      </c>
    </row>
    <row r="282" spans="1:22" x14ac:dyDescent="0.3">
      <c r="A282" t="s">
        <v>337</v>
      </c>
      <c r="B282" t="s">
        <v>63</v>
      </c>
      <c r="C282" t="s">
        <v>17</v>
      </c>
      <c r="D282" t="s">
        <v>26</v>
      </c>
      <c r="E282">
        <v>34</v>
      </c>
      <c r="F282" t="s">
        <v>34</v>
      </c>
      <c r="G282" t="s">
        <v>44</v>
      </c>
      <c r="H282" t="s">
        <v>54</v>
      </c>
      <c r="I282" s="1">
        <v>45289</v>
      </c>
      <c r="J282" s="1">
        <v>45293</v>
      </c>
      <c r="L282">
        <v>2</v>
      </c>
      <c r="M282">
        <v>9</v>
      </c>
      <c r="N282" t="s">
        <v>45</v>
      </c>
      <c r="O282">
        <v>343277</v>
      </c>
      <c r="U282">
        <f>Table1[[#This Row],[Interview_Date]]-Table1[[#This Row],[Application_Date]]</f>
        <v>4</v>
      </c>
      <c r="V282" t="str">
        <f>IF(OR(Table1[[#This Row],[Offer_Date]]="",Table1[[#This Row],[Interview_Date]]=""),"",Table1[[#This Row],[Offer_Date]]-Table1[[#This Row],[Interview_Date]])</f>
        <v/>
      </c>
    </row>
    <row r="283" spans="1:22" x14ac:dyDescent="0.3">
      <c r="A283" t="s">
        <v>338</v>
      </c>
      <c r="B283" t="s">
        <v>42</v>
      </c>
      <c r="C283" t="s">
        <v>25</v>
      </c>
      <c r="D283" t="s">
        <v>26</v>
      </c>
      <c r="E283">
        <v>35</v>
      </c>
      <c r="F283" t="s">
        <v>31</v>
      </c>
      <c r="G283" t="s">
        <v>20</v>
      </c>
      <c r="H283" t="s">
        <v>40</v>
      </c>
      <c r="I283" s="1">
        <v>44279</v>
      </c>
      <c r="J283" s="1">
        <v>44290</v>
      </c>
      <c r="L283">
        <v>2</v>
      </c>
      <c r="M283">
        <v>6</v>
      </c>
      <c r="N283" t="s">
        <v>45</v>
      </c>
      <c r="O283">
        <v>817657</v>
      </c>
      <c r="U283">
        <f>Table1[[#This Row],[Interview_Date]]-Table1[[#This Row],[Application_Date]]</f>
        <v>11</v>
      </c>
      <c r="V283" t="str">
        <f>IF(OR(Table1[[#This Row],[Offer_Date]]="",Table1[[#This Row],[Interview_Date]]=""),"",Table1[[#This Row],[Offer_Date]]-Table1[[#This Row],[Interview_Date]])</f>
        <v/>
      </c>
    </row>
    <row r="284" spans="1:22" x14ac:dyDescent="0.3">
      <c r="A284" t="s">
        <v>339</v>
      </c>
      <c r="B284" t="s">
        <v>33</v>
      </c>
      <c r="C284" t="s">
        <v>17</v>
      </c>
      <c r="D284" t="s">
        <v>26</v>
      </c>
      <c r="E284">
        <v>44</v>
      </c>
      <c r="F284" t="s">
        <v>31</v>
      </c>
      <c r="G284" t="s">
        <v>20</v>
      </c>
      <c r="H284" t="s">
        <v>40</v>
      </c>
      <c r="I284" s="1">
        <v>44735</v>
      </c>
      <c r="J284" s="1">
        <v>44740</v>
      </c>
      <c r="K284" s="1">
        <v>44742</v>
      </c>
      <c r="L284">
        <v>2</v>
      </c>
      <c r="M284">
        <v>2</v>
      </c>
      <c r="N284" t="s">
        <v>28</v>
      </c>
      <c r="O284">
        <v>1028341</v>
      </c>
      <c r="U284">
        <f>Table1[[#This Row],[Interview_Date]]-Table1[[#This Row],[Application_Date]]</f>
        <v>5</v>
      </c>
      <c r="V284">
        <f>IF(OR(Table1[[#This Row],[Offer_Date]]="",Table1[[#This Row],[Interview_Date]]=""),"",Table1[[#This Row],[Offer_Date]]-Table1[[#This Row],[Interview_Date]])</f>
        <v>2</v>
      </c>
    </row>
    <row r="285" spans="1:22" x14ac:dyDescent="0.3">
      <c r="A285" t="s">
        <v>340</v>
      </c>
      <c r="B285" t="s">
        <v>47</v>
      </c>
      <c r="C285" t="s">
        <v>25</v>
      </c>
      <c r="D285" t="s">
        <v>26</v>
      </c>
      <c r="E285">
        <v>32</v>
      </c>
      <c r="F285" t="s">
        <v>56</v>
      </c>
      <c r="G285" t="s">
        <v>44</v>
      </c>
      <c r="H285" t="s">
        <v>36</v>
      </c>
      <c r="I285" s="1">
        <v>44608</v>
      </c>
      <c r="J285" s="1">
        <v>44614</v>
      </c>
      <c r="K285" s="1">
        <v>44619</v>
      </c>
      <c r="L285">
        <v>1</v>
      </c>
      <c r="M285">
        <v>7</v>
      </c>
      <c r="N285" t="s">
        <v>22</v>
      </c>
      <c r="O285">
        <v>723340</v>
      </c>
      <c r="U285">
        <f>Table1[[#This Row],[Interview_Date]]-Table1[[#This Row],[Application_Date]]</f>
        <v>6</v>
      </c>
      <c r="V285">
        <f>IF(OR(Table1[[#This Row],[Offer_Date]]="",Table1[[#This Row],[Interview_Date]]=""),"",Table1[[#This Row],[Offer_Date]]-Table1[[#This Row],[Interview_Date]])</f>
        <v>5</v>
      </c>
    </row>
    <row r="286" spans="1:22" x14ac:dyDescent="0.3">
      <c r="A286" t="s">
        <v>341</v>
      </c>
      <c r="B286" t="s">
        <v>33</v>
      </c>
      <c r="C286" t="s">
        <v>25</v>
      </c>
      <c r="D286" t="s">
        <v>26</v>
      </c>
      <c r="E286">
        <v>42</v>
      </c>
      <c r="F286" t="s">
        <v>56</v>
      </c>
      <c r="G286" t="s">
        <v>60</v>
      </c>
      <c r="H286" t="s">
        <v>36</v>
      </c>
      <c r="I286" s="1">
        <v>44449</v>
      </c>
      <c r="J286" s="1">
        <v>44462</v>
      </c>
      <c r="K286" s="1">
        <v>44466</v>
      </c>
      <c r="L286">
        <v>3</v>
      </c>
      <c r="M286">
        <v>7</v>
      </c>
      <c r="N286" t="s">
        <v>45</v>
      </c>
      <c r="O286">
        <v>573117</v>
      </c>
      <c r="U286">
        <f>Table1[[#This Row],[Interview_Date]]-Table1[[#This Row],[Application_Date]]</f>
        <v>13</v>
      </c>
      <c r="V286">
        <f>IF(OR(Table1[[#This Row],[Offer_Date]]="",Table1[[#This Row],[Interview_Date]]=""),"",Table1[[#This Row],[Offer_Date]]-Table1[[#This Row],[Interview_Date]])</f>
        <v>4</v>
      </c>
    </row>
    <row r="287" spans="1:22" x14ac:dyDescent="0.3">
      <c r="A287" t="s">
        <v>342</v>
      </c>
      <c r="B287" t="s">
        <v>63</v>
      </c>
      <c r="C287" t="s">
        <v>53</v>
      </c>
      <c r="D287" t="s">
        <v>18</v>
      </c>
      <c r="E287">
        <v>22</v>
      </c>
      <c r="F287" t="s">
        <v>56</v>
      </c>
      <c r="G287" t="s">
        <v>35</v>
      </c>
      <c r="H287" t="s">
        <v>21</v>
      </c>
      <c r="I287" s="1">
        <v>44876</v>
      </c>
      <c r="J287" s="1">
        <v>44887</v>
      </c>
      <c r="K287" s="1">
        <v>44894</v>
      </c>
      <c r="L287">
        <v>2</v>
      </c>
      <c r="M287">
        <v>8</v>
      </c>
      <c r="N287" t="s">
        <v>28</v>
      </c>
      <c r="O287">
        <v>475573</v>
      </c>
      <c r="U287">
        <f>Table1[[#This Row],[Interview_Date]]-Table1[[#This Row],[Application_Date]]</f>
        <v>11</v>
      </c>
      <c r="V287">
        <f>IF(OR(Table1[[#This Row],[Offer_Date]]="",Table1[[#This Row],[Interview_Date]]=""),"",Table1[[#This Row],[Offer_Date]]-Table1[[#This Row],[Interview_Date]])</f>
        <v>7</v>
      </c>
    </row>
    <row r="288" spans="1:22" x14ac:dyDescent="0.3">
      <c r="A288" t="s">
        <v>343</v>
      </c>
      <c r="B288" t="s">
        <v>33</v>
      </c>
      <c r="C288" t="s">
        <v>17</v>
      </c>
      <c r="D288" t="s">
        <v>18</v>
      </c>
      <c r="E288">
        <v>26</v>
      </c>
      <c r="F288" t="s">
        <v>56</v>
      </c>
      <c r="G288" t="s">
        <v>27</v>
      </c>
      <c r="H288" t="s">
        <v>40</v>
      </c>
      <c r="I288" s="1">
        <v>45349</v>
      </c>
      <c r="J288" s="1">
        <v>45357</v>
      </c>
      <c r="K288" s="1">
        <v>45359</v>
      </c>
      <c r="L288">
        <v>3</v>
      </c>
      <c r="M288">
        <v>5</v>
      </c>
      <c r="N288" t="s">
        <v>45</v>
      </c>
      <c r="O288">
        <v>306102</v>
      </c>
      <c r="U288">
        <f>Table1[[#This Row],[Interview_Date]]-Table1[[#This Row],[Application_Date]]</f>
        <v>8</v>
      </c>
      <c r="V288">
        <f>IF(OR(Table1[[#This Row],[Offer_Date]]="",Table1[[#This Row],[Interview_Date]]=""),"",Table1[[#This Row],[Offer_Date]]-Table1[[#This Row],[Interview_Date]])</f>
        <v>2</v>
      </c>
    </row>
    <row r="289" spans="1:22" x14ac:dyDescent="0.3">
      <c r="A289" t="s">
        <v>344</v>
      </c>
      <c r="B289" t="s">
        <v>58</v>
      </c>
      <c r="C289" t="s">
        <v>30</v>
      </c>
      <c r="D289" t="s">
        <v>26</v>
      </c>
      <c r="E289">
        <v>30</v>
      </c>
      <c r="F289" t="s">
        <v>74</v>
      </c>
      <c r="G289" t="s">
        <v>35</v>
      </c>
      <c r="H289" t="s">
        <v>36</v>
      </c>
      <c r="I289" s="1">
        <v>45193</v>
      </c>
      <c r="J289" s="1">
        <v>45206</v>
      </c>
      <c r="K289" s="1">
        <v>45210</v>
      </c>
      <c r="L289">
        <v>2</v>
      </c>
      <c r="M289">
        <v>8</v>
      </c>
      <c r="N289" t="s">
        <v>45</v>
      </c>
      <c r="O289">
        <v>1167359</v>
      </c>
      <c r="U289">
        <f>Table1[[#This Row],[Interview_Date]]-Table1[[#This Row],[Application_Date]]</f>
        <v>13</v>
      </c>
      <c r="V289">
        <f>IF(OR(Table1[[#This Row],[Offer_Date]]="",Table1[[#This Row],[Interview_Date]]=""),"",Table1[[#This Row],[Offer_Date]]-Table1[[#This Row],[Interview_Date]])</f>
        <v>4</v>
      </c>
    </row>
    <row r="290" spans="1:22" x14ac:dyDescent="0.3">
      <c r="A290" t="s">
        <v>345</v>
      </c>
      <c r="B290" t="s">
        <v>33</v>
      </c>
      <c r="C290" t="s">
        <v>53</v>
      </c>
      <c r="D290" t="s">
        <v>18</v>
      </c>
      <c r="E290">
        <v>42</v>
      </c>
      <c r="F290" t="s">
        <v>39</v>
      </c>
      <c r="G290" t="s">
        <v>44</v>
      </c>
      <c r="H290" t="s">
        <v>54</v>
      </c>
      <c r="I290" s="1">
        <v>45349</v>
      </c>
      <c r="J290" s="1">
        <v>45363</v>
      </c>
      <c r="K290" s="1">
        <v>45366</v>
      </c>
      <c r="L290">
        <v>4</v>
      </c>
      <c r="M290">
        <v>8</v>
      </c>
      <c r="N290" t="s">
        <v>48</v>
      </c>
      <c r="O290">
        <v>728563</v>
      </c>
      <c r="U290">
        <f>Table1[[#This Row],[Interview_Date]]-Table1[[#This Row],[Application_Date]]</f>
        <v>14</v>
      </c>
      <c r="V290">
        <f>IF(OR(Table1[[#This Row],[Offer_Date]]="",Table1[[#This Row],[Interview_Date]]=""),"",Table1[[#This Row],[Offer_Date]]-Table1[[#This Row],[Interview_Date]])</f>
        <v>3</v>
      </c>
    </row>
    <row r="291" spans="1:22" x14ac:dyDescent="0.3">
      <c r="A291" t="s">
        <v>346</v>
      </c>
      <c r="B291" t="s">
        <v>58</v>
      </c>
      <c r="C291" t="s">
        <v>69</v>
      </c>
      <c r="D291" t="s">
        <v>26</v>
      </c>
      <c r="E291">
        <v>39</v>
      </c>
      <c r="F291" t="s">
        <v>39</v>
      </c>
      <c r="G291" t="s">
        <v>27</v>
      </c>
      <c r="H291" t="s">
        <v>21</v>
      </c>
      <c r="I291" s="1">
        <v>44961</v>
      </c>
      <c r="J291" s="1">
        <v>44969</v>
      </c>
      <c r="K291" s="1">
        <v>44972</v>
      </c>
      <c r="L291">
        <v>5</v>
      </c>
      <c r="M291">
        <v>4</v>
      </c>
      <c r="N291" t="s">
        <v>28</v>
      </c>
      <c r="O291">
        <v>751382</v>
      </c>
      <c r="U291">
        <f>Table1[[#This Row],[Interview_Date]]-Table1[[#This Row],[Application_Date]]</f>
        <v>8</v>
      </c>
      <c r="V291">
        <f>IF(OR(Table1[[#This Row],[Offer_Date]]="",Table1[[#This Row],[Interview_Date]]=""),"",Table1[[#This Row],[Offer_Date]]-Table1[[#This Row],[Interview_Date]])</f>
        <v>3</v>
      </c>
    </row>
    <row r="292" spans="1:22" x14ac:dyDescent="0.3">
      <c r="A292" t="s">
        <v>347</v>
      </c>
      <c r="B292" t="s">
        <v>16</v>
      </c>
      <c r="C292" t="s">
        <v>50</v>
      </c>
      <c r="D292" t="s">
        <v>26</v>
      </c>
      <c r="E292">
        <v>24</v>
      </c>
      <c r="F292" t="s">
        <v>19</v>
      </c>
      <c r="G292" t="s">
        <v>44</v>
      </c>
      <c r="H292" t="s">
        <v>54</v>
      </c>
      <c r="I292" s="1">
        <v>44703</v>
      </c>
      <c r="J292" s="1">
        <v>44716</v>
      </c>
      <c r="L292">
        <v>3</v>
      </c>
      <c r="M292">
        <v>3</v>
      </c>
      <c r="N292" t="s">
        <v>28</v>
      </c>
      <c r="O292">
        <v>834694</v>
      </c>
      <c r="U292">
        <f>Table1[[#This Row],[Interview_Date]]-Table1[[#This Row],[Application_Date]]</f>
        <v>13</v>
      </c>
      <c r="V292" t="str">
        <f>IF(OR(Table1[[#This Row],[Offer_Date]]="",Table1[[#This Row],[Interview_Date]]=""),"",Table1[[#This Row],[Offer_Date]]-Table1[[#This Row],[Interview_Date]])</f>
        <v/>
      </c>
    </row>
    <row r="293" spans="1:22" x14ac:dyDescent="0.3">
      <c r="A293" t="s">
        <v>348</v>
      </c>
      <c r="B293" t="s">
        <v>38</v>
      </c>
      <c r="C293" t="s">
        <v>53</v>
      </c>
      <c r="D293" t="s">
        <v>26</v>
      </c>
      <c r="E293">
        <v>29</v>
      </c>
      <c r="F293" t="s">
        <v>31</v>
      </c>
      <c r="G293" t="s">
        <v>44</v>
      </c>
      <c r="H293" t="s">
        <v>54</v>
      </c>
      <c r="I293" s="1">
        <v>44493</v>
      </c>
      <c r="J293" s="1">
        <v>44508</v>
      </c>
      <c r="K293" s="1">
        <v>44515</v>
      </c>
      <c r="L293">
        <v>5</v>
      </c>
      <c r="M293">
        <v>2</v>
      </c>
      <c r="N293" t="s">
        <v>28</v>
      </c>
      <c r="O293">
        <v>460215</v>
      </c>
      <c r="U293">
        <f>Table1[[#This Row],[Interview_Date]]-Table1[[#This Row],[Application_Date]]</f>
        <v>15</v>
      </c>
      <c r="V293">
        <f>IF(OR(Table1[[#This Row],[Offer_Date]]="",Table1[[#This Row],[Interview_Date]]=""),"",Table1[[#This Row],[Offer_Date]]-Table1[[#This Row],[Interview_Date]])</f>
        <v>7</v>
      </c>
    </row>
    <row r="294" spans="1:22" x14ac:dyDescent="0.3">
      <c r="A294" t="s">
        <v>349</v>
      </c>
      <c r="B294" t="s">
        <v>16</v>
      </c>
      <c r="C294" t="s">
        <v>53</v>
      </c>
      <c r="D294" t="s">
        <v>26</v>
      </c>
      <c r="E294">
        <v>35</v>
      </c>
      <c r="F294" t="s">
        <v>56</v>
      </c>
      <c r="G294" t="s">
        <v>27</v>
      </c>
      <c r="H294" t="s">
        <v>36</v>
      </c>
      <c r="I294" s="1">
        <v>45258</v>
      </c>
      <c r="J294" s="1">
        <v>45272</v>
      </c>
      <c r="K294" s="1">
        <v>45276</v>
      </c>
      <c r="L294">
        <v>4</v>
      </c>
      <c r="M294">
        <v>3</v>
      </c>
      <c r="N294" t="s">
        <v>28</v>
      </c>
      <c r="O294">
        <v>487735</v>
      </c>
      <c r="U294">
        <f>Table1[[#This Row],[Interview_Date]]-Table1[[#This Row],[Application_Date]]</f>
        <v>14</v>
      </c>
      <c r="V294">
        <f>IF(OR(Table1[[#This Row],[Offer_Date]]="",Table1[[#This Row],[Interview_Date]]=""),"",Table1[[#This Row],[Offer_Date]]-Table1[[#This Row],[Interview_Date]])</f>
        <v>4</v>
      </c>
    </row>
    <row r="295" spans="1:22" x14ac:dyDescent="0.3">
      <c r="A295" t="s">
        <v>350</v>
      </c>
      <c r="B295" t="s">
        <v>33</v>
      </c>
      <c r="C295" t="s">
        <v>17</v>
      </c>
      <c r="D295" t="s">
        <v>26</v>
      </c>
      <c r="E295">
        <v>29</v>
      </c>
      <c r="F295" t="s">
        <v>56</v>
      </c>
      <c r="G295" t="s">
        <v>27</v>
      </c>
      <c r="H295" t="s">
        <v>36</v>
      </c>
      <c r="I295" s="1">
        <v>45348</v>
      </c>
      <c r="J295" s="1">
        <v>45356</v>
      </c>
      <c r="L295">
        <v>3</v>
      </c>
      <c r="M295">
        <v>10</v>
      </c>
      <c r="N295" t="s">
        <v>45</v>
      </c>
      <c r="O295">
        <v>661331</v>
      </c>
      <c r="U295">
        <f>Table1[[#This Row],[Interview_Date]]-Table1[[#This Row],[Application_Date]]</f>
        <v>8</v>
      </c>
      <c r="V295" t="str">
        <f>IF(OR(Table1[[#This Row],[Offer_Date]]="",Table1[[#This Row],[Interview_Date]]=""),"",Table1[[#This Row],[Offer_Date]]-Table1[[#This Row],[Interview_Date]])</f>
        <v/>
      </c>
    </row>
    <row r="296" spans="1:22" x14ac:dyDescent="0.3">
      <c r="A296" t="s">
        <v>351</v>
      </c>
      <c r="B296" t="s">
        <v>63</v>
      </c>
      <c r="C296" t="s">
        <v>94</v>
      </c>
      <c r="D296" t="s">
        <v>18</v>
      </c>
      <c r="E296">
        <v>27</v>
      </c>
      <c r="F296" t="s">
        <v>39</v>
      </c>
      <c r="G296" t="s">
        <v>35</v>
      </c>
      <c r="H296" t="s">
        <v>51</v>
      </c>
      <c r="I296" s="1">
        <v>44546</v>
      </c>
      <c r="J296" s="1">
        <v>44559</v>
      </c>
      <c r="L296">
        <v>3</v>
      </c>
      <c r="M296">
        <v>6</v>
      </c>
      <c r="N296" t="s">
        <v>28</v>
      </c>
      <c r="O296">
        <v>785335</v>
      </c>
      <c r="U296">
        <f>Table1[[#This Row],[Interview_Date]]-Table1[[#This Row],[Application_Date]]</f>
        <v>13</v>
      </c>
      <c r="V296" t="str">
        <f>IF(OR(Table1[[#This Row],[Offer_Date]]="",Table1[[#This Row],[Interview_Date]]=""),"",Table1[[#This Row],[Offer_Date]]-Table1[[#This Row],[Interview_Date]])</f>
        <v/>
      </c>
    </row>
    <row r="297" spans="1:22" x14ac:dyDescent="0.3">
      <c r="A297" t="s">
        <v>352</v>
      </c>
      <c r="B297" t="s">
        <v>38</v>
      </c>
      <c r="C297" t="s">
        <v>25</v>
      </c>
      <c r="D297" t="s">
        <v>26</v>
      </c>
      <c r="E297">
        <v>45</v>
      </c>
      <c r="F297" t="s">
        <v>19</v>
      </c>
      <c r="G297" t="s">
        <v>44</v>
      </c>
      <c r="H297" t="s">
        <v>36</v>
      </c>
      <c r="I297" s="1">
        <v>45079</v>
      </c>
      <c r="J297" s="1">
        <v>45093</v>
      </c>
      <c r="L297">
        <v>1</v>
      </c>
      <c r="M297">
        <v>7</v>
      </c>
      <c r="N297" t="s">
        <v>45</v>
      </c>
      <c r="O297">
        <v>303816</v>
      </c>
      <c r="U297">
        <f>Table1[[#This Row],[Interview_Date]]-Table1[[#This Row],[Application_Date]]</f>
        <v>14</v>
      </c>
      <c r="V297" t="str">
        <f>IF(OR(Table1[[#This Row],[Offer_Date]]="",Table1[[#This Row],[Interview_Date]]=""),"",Table1[[#This Row],[Offer_Date]]-Table1[[#This Row],[Interview_Date]])</f>
        <v/>
      </c>
    </row>
    <row r="298" spans="1:22" x14ac:dyDescent="0.3">
      <c r="A298" t="s">
        <v>353</v>
      </c>
      <c r="B298" t="s">
        <v>24</v>
      </c>
      <c r="C298" t="s">
        <v>25</v>
      </c>
      <c r="D298" t="s">
        <v>26</v>
      </c>
      <c r="E298">
        <v>43</v>
      </c>
      <c r="F298" t="s">
        <v>39</v>
      </c>
      <c r="G298" t="s">
        <v>35</v>
      </c>
      <c r="H298" t="s">
        <v>51</v>
      </c>
      <c r="I298" s="1">
        <v>44810</v>
      </c>
      <c r="J298" s="1">
        <v>44822</v>
      </c>
      <c r="L298">
        <v>5</v>
      </c>
      <c r="M298">
        <v>5</v>
      </c>
      <c r="N298" t="s">
        <v>22</v>
      </c>
      <c r="O298">
        <v>933847</v>
      </c>
      <c r="U298">
        <f>Table1[[#This Row],[Interview_Date]]-Table1[[#This Row],[Application_Date]]</f>
        <v>12</v>
      </c>
      <c r="V298" t="str">
        <f>IF(OR(Table1[[#This Row],[Offer_Date]]="",Table1[[#This Row],[Interview_Date]]=""),"",Table1[[#This Row],[Offer_Date]]-Table1[[#This Row],[Interview_Date]])</f>
        <v/>
      </c>
    </row>
    <row r="299" spans="1:22" x14ac:dyDescent="0.3">
      <c r="A299" t="s">
        <v>354</v>
      </c>
      <c r="B299" t="s">
        <v>16</v>
      </c>
      <c r="C299" t="s">
        <v>53</v>
      </c>
      <c r="D299" t="s">
        <v>26</v>
      </c>
      <c r="E299">
        <v>42</v>
      </c>
      <c r="F299" t="s">
        <v>31</v>
      </c>
      <c r="G299" t="s">
        <v>20</v>
      </c>
      <c r="H299" t="s">
        <v>36</v>
      </c>
      <c r="I299" s="1">
        <v>44439</v>
      </c>
      <c r="J299" s="1">
        <v>44442</v>
      </c>
      <c r="K299" s="1">
        <v>44447</v>
      </c>
      <c r="L299">
        <v>2</v>
      </c>
      <c r="M299">
        <v>6</v>
      </c>
      <c r="N299" t="s">
        <v>48</v>
      </c>
      <c r="O299">
        <v>1051138</v>
      </c>
      <c r="U299">
        <f>Table1[[#This Row],[Interview_Date]]-Table1[[#This Row],[Application_Date]]</f>
        <v>3</v>
      </c>
      <c r="V299">
        <f>IF(OR(Table1[[#This Row],[Offer_Date]]="",Table1[[#This Row],[Interview_Date]]=""),"",Table1[[#This Row],[Offer_Date]]-Table1[[#This Row],[Interview_Date]])</f>
        <v>5</v>
      </c>
    </row>
    <row r="300" spans="1:22" x14ac:dyDescent="0.3">
      <c r="A300" t="s">
        <v>355</v>
      </c>
      <c r="B300" t="s">
        <v>72</v>
      </c>
      <c r="C300" t="s">
        <v>30</v>
      </c>
      <c r="D300" t="s">
        <v>18</v>
      </c>
      <c r="E300">
        <v>27</v>
      </c>
      <c r="F300" t="s">
        <v>56</v>
      </c>
      <c r="G300" t="s">
        <v>20</v>
      </c>
      <c r="H300" t="s">
        <v>54</v>
      </c>
      <c r="I300" s="1">
        <v>45172</v>
      </c>
      <c r="J300" s="1">
        <v>45184</v>
      </c>
      <c r="L300">
        <v>1</v>
      </c>
      <c r="M300">
        <v>7</v>
      </c>
      <c r="N300" t="s">
        <v>28</v>
      </c>
      <c r="O300">
        <v>1181263</v>
      </c>
      <c r="U300">
        <f>Table1[[#This Row],[Interview_Date]]-Table1[[#This Row],[Application_Date]]</f>
        <v>12</v>
      </c>
      <c r="V300" t="str">
        <f>IF(OR(Table1[[#This Row],[Offer_Date]]="",Table1[[#This Row],[Interview_Date]]=""),"",Table1[[#This Row],[Offer_Date]]-Table1[[#This Row],[Interview_Date]])</f>
        <v/>
      </c>
    </row>
    <row r="301" spans="1:22" x14ac:dyDescent="0.3">
      <c r="A301" t="s">
        <v>356</v>
      </c>
      <c r="B301" t="s">
        <v>16</v>
      </c>
      <c r="C301" t="s">
        <v>50</v>
      </c>
      <c r="D301" t="s">
        <v>18</v>
      </c>
      <c r="E301">
        <v>42</v>
      </c>
      <c r="F301" t="s">
        <v>74</v>
      </c>
      <c r="G301" t="s">
        <v>27</v>
      </c>
      <c r="H301" t="s">
        <v>40</v>
      </c>
      <c r="I301" s="1">
        <v>44668</v>
      </c>
      <c r="J301" s="1">
        <v>44678</v>
      </c>
      <c r="L301">
        <v>3</v>
      </c>
      <c r="M301">
        <v>3</v>
      </c>
      <c r="N301" t="s">
        <v>45</v>
      </c>
      <c r="O301">
        <v>495084</v>
      </c>
      <c r="U301">
        <f>Table1[[#This Row],[Interview_Date]]-Table1[[#This Row],[Application_Date]]</f>
        <v>10</v>
      </c>
      <c r="V301" t="str">
        <f>IF(OR(Table1[[#This Row],[Offer_Date]]="",Table1[[#This Row],[Interview_Date]]=""),"",Table1[[#This Row],[Offer_Date]]-Table1[[#This Row],[Interview_Date]])</f>
        <v/>
      </c>
    </row>
    <row r="302" spans="1:22" x14ac:dyDescent="0.3">
      <c r="A302" t="s">
        <v>357</v>
      </c>
      <c r="B302" t="s">
        <v>16</v>
      </c>
      <c r="C302" t="s">
        <v>69</v>
      </c>
      <c r="D302" t="s">
        <v>18</v>
      </c>
      <c r="E302">
        <v>37</v>
      </c>
      <c r="F302" t="s">
        <v>19</v>
      </c>
      <c r="G302" t="s">
        <v>35</v>
      </c>
      <c r="H302" t="s">
        <v>21</v>
      </c>
      <c r="I302" s="1">
        <v>44975</v>
      </c>
      <c r="J302" s="1">
        <v>44987</v>
      </c>
      <c r="K302" s="1">
        <v>44994</v>
      </c>
      <c r="L302">
        <v>2</v>
      </c>
      <c r="M302">
        <v>5</v>
      </c>
      <c r="N302" t="s">
        <v>28</v>
      </c>
      <c r="O302">
        <v>854862</v>
      </c>
      <c r="U302">
        <f>Table1[[#This Row],[Interview_Date]]-Table1[[#This Row],[Application_Date]]</f>
        <v>12</v>
      </c>
      <c r="V302">
        <f>IF(OR(Table1[[#This Row],[Offer_Date]]="",Table1[[#This Row],[Interview_Date]]=""),"",Table1[[#This Row],[Offer_Date]]-Table1[[#This Row],[Interview_Date]])</f>
        <v>7</v>
      </c>
    </row>
    <row r="303" spans="1:22" x14ac:dyDescent="0.3">
      <c r="A303" t="s">
        <v>358</v>
      </c>
      <c r="B303" t="s">
        <v>16</v>
      </c>
      <c r="C303" t="s">
        <v>59</v>
      </c>
      <c r="D303" t="s">
        <v>26</v>
      </c>
      <c r="E303">
        <v>35</v>
      </c>
      <c r="F303" t="s">
        <v>19</v>
      </c>
      <c r="G303" t="s">
        <v>27</v>
      </c>
      <c r="H303" t="s">
        <v>54</v>
      </c>
      <c r="I303" s="1">
        <v>45380</v>
      </c>
      <c r="J303" s="1">
        <v>45389</v>
      </c>
      <c r="L303">
        <v>5</v>
      </c>
      <c r="M303">
        <v>7</v>
      </c>
      <c r="N303" t="s">
        <v>45</v>
      </c>
      <c r="O303">
        <v>448490</v>
      </c>
      <c r="U303">
        <f>Table1[[#This Row],[Interview_Date]]-Table1[[#This Row],[Application_Date]]</f>
        <v>9</v>
      </c>
      <c r="V303" t="str">
        <f>IF(OR(Table1[[#This Row],[Offer_Date]]="",Table1[[#This Row],[Interview_Date]]=""),"",Table1[[#This Row],[Offer_Date]]-Table1[[#This Row],[Interview_Date]])</f>
        <v/>
      </c>
    </row>
    <row r="304" spans="1:22" x14ac:dyDescent="0.3">
      <c r="A304" t="s">
        <v>359</v>
      </c>
      <c r="B304" t="s">
        <v>33</v>
      </c>
      <c r="C304" t="s">
        <v>30</v>
      </c>
      <c r="D304" t="s">
        <v>26</v>
      </c>
      <c r="E304">
        <v>39</v>
      </c>
      <c r="F304" t="s">
        <v>19</v>
      </c>
      <c r="G304" t="s">
        <v>60</v>
      </c>
      <c r="H304" t="s">
        <v>36</v>
      </c>
      <c r="I304" s="1">
        <v>45146</v>
      </c>
      <c r="J304" s="1">
        <v>45159</v>
      </c>
      <c r="K304" s="1">
        <v>45165</v>
      </c>
      <c r="L304">
        <v>2</v>
      </c>
      <c r="M304">
        <v>2</v>
      </c>
      <c r="N304" t="s">
        <v>22</v>
      </c>
      <c r="O304">
        <v>427938</v>
      </c>
      <c r="U304">
        <f>Table1[[#This Row],[Interview_Date]]-Table1[[#This Row],[Application_Date]]</f>
        <v>13</v>
      </c>
      <c r="V304">
        <f>IF(OR(Table1[[#This Row],[Offer_Date]]="",Table1[[#This Row],[Interview_Date]]=""),"",Table1[[#This Row],[Offer_Date]]-Table1[[#This Row],[Interview_Date]])</f>
        <v>6</v>
      </c>
    </row>
    <row r="305" spans="1:22" x14ac:dyDescent="0.3">
      <c r="A305" t="s">
        <v>360</v>
      </c>
      <c r="B305" t="s">
        <v>58</v>
      </c>
      <c r="C305" t="s">
        <v>69</v>
      </c>
      <c r="D305" t="s">
        <v>26</v>
      </c>
      <c r="E305">
        <v>31</v>
      </c>
      <c r="F305" t="s">
        <v>39</v>
      </c>
      <c r="G305" t="s">
        <v>35</v>
      </c>
      <c r="H305" t="s">
        <v>54</v>
      </c>
      <c r="I305" s="1">
        <v>44996</v>
      </c>
      <c r="J305" s="1">
        <v>44999</v>
      </c>
      <c r="K305" s="1">
        <v>45005</v>
      </c>
      <c r="L305">
        <v>4</v>
      </c>
      <c r="M305">
        <v>4</v>
      </c>
      <c r="N305" t="s">
        <v>22</v>
      </c>
      <c r="O305">
        <v>534814</v>
      </c>
      <c r="U305">
        <f>Table1[[#This Row],[Interview_Date]]-Table1[[#This Row],[Application_Date]]</f>
        <v>3</v>
      </c>
      <c r="V305">
        <f>IF(OR(Table1[[#This Row],[Offer_Date]]="",Table1[[#This Row],[Interview_Date]]=""),"",Table1[[#This Row],[Offer_Date]]-Table1[[#This Row],[Interview_Date]])</f>
        <v>6</v>
      </c>
    </row>
    <row r="306" spans="1:22" x14ac:dyDescent="0.3">
      <c r="A306" t="s">
        <v>361</v>
      </c>
      <c r="B306" t="s">
        <v>58</v>
      </c>
      <c r="C306" t="s">
        <v>25</v>
      </c>
      <c r="D306" t="s">
        <v>18</v>
      </c>
      <c r="E306">
        <v>37</v>
      </c>
      <c r="F306" t="s">
        <v>31</v>
      </c>
      <c r="G306" t="s">
        <v>35</v>
      </c>
      <c r="H306" t="s">
        <v>21</v>
      </c>
      <c r="I306" s="1">
        <v>45338</v>
      </c>
      <c r="J306" s="1">
        <v>45352</v>
      </c>
      <c r="L306">
        <v>5</v>
      </c>
      <c r="M306">
        <v>9</v>
      </c>
      <c r="N306" t="s">
        <v>22</v>
      </c>
      <c r="O306">
        <v>311539</v>
      </c>
      <c r="U306">
        <f>Table1[[#This Row],[Interview_Date]]-Table1[[#This Row],[Application_Date]]</f>
        <v>14</v>
      </c>
      <c r="V306" t="str">
        <f>IF(OR(Table1[[#This Row],[Offer_Date]]="",Table1[[#This Row],[Interview_Date]]=""),"",Table1[[#This Row],[Offer_Date]]-Table1[[#This Row],[Interview_Date]])</f>
        <v/>
      </c>
    </row>
    <row r="307" spans="1:22" x14ac:dyDescent="0.3">
      <c r="A307" t="s">
        <v>362</v>
      </c>
      <c r="B307" t="s">
        <v>65</v>
      </c>
      <c r="C307" t="s">
        <v>25</v>
      </c>
      <c r="D307" t="s">
        <v>26</v>
      </c>
      <c r="E307">
        <v>21</v>
      </c>
      <c r="F307" t="s">
        <v>39</v>
      </c>
      <c r="G307" t="s">
        <v>60</v>
      </c>
      <c r="H307" t="s">
        <v>36</v>
      </c>
      <c r="I307" s="1">
        <v>44283</v>
      </c>
      <c r="J307" s="1">
        <v>44287</v>
      </c>
      <c r="K307" s="1">
        <v>44294</v>
      </c>
      <c r="L307">
        <v>5</v>
      </c>
      <c r="M307">
        <v>9</v>
      </c>
      <c r="N307" t="s">
        <v>28</v>
      </c>
      <c r="O307">
        <v>521771</v>
      </c>
      <c r="U307">
        <f>Table1[[#This Row],[Interview_Date]]-Table1[[#This Row],[Application_Date]]</f>
        <v>4</v>
      </c>
      <c r="V307">
        <f>IF(OR(Table1[[#This Row],[Offer_Date]]="",Table1[[#This Row],[Interview_Date]]=""),"",Table1[[#This Row],[Offer_Date]]-Table1[[#This Row],[Interview_Date]])</f>
        <v>7</v>
      </c>
    </row>
    <row r="308" spans="1:22" x14ac:dyDescent="0.3">
      <c r="A308" t="s">
        <v>363</v>
      </c>
      <c r="B308" t="s">
        <v>33</v>
      </c>
      <c r="C308" t="s">
        <v>53</v>
      </c>
      <c r="D308" t="s">
        <v>26</v>
      </c>
      <c r="E308">
        <v>44</v>
      </c>
      <c r="F308" t="s">
        <v>31</v>
      </c>
      <c r="G308" t="s">
        <v>20</v>
      </c>
      <c r="H308" t="s">
        <v>21</v>
      </c>
      <c r="I308" s="1">
        <v>45346</v>
      </c>
      <c r="J308" s="1">
        <v>45353</v>
      </c>
      <c r="K308" s="1">
        <v>45357</v>
      </c>
      <c r="L308">
        <v>2</v>
      </c>
      <c r="M308">
        <v>7</v>
      </c>
      <c r="N308" t="s">
        <v>22</v>
      </c>
      <c r="O308">
        <v>1090899</v>
      </c>
      <c r="U308">
        <f>Table1[[#This Row],[Interview_Date]]-Table1[[#This Row],[Application_Date]]</f>
        <v>7</v>
      </c>
      <c r="V308">
        <f>IF(OR(Table1[[#This Row],[Offer_Date]]="",Table1[[#This Row],[Interview_Date]]=""),"",Table1[[#This Row],[Offer_Date]]-Table1[[#This Row],[Interview_Date]])</f>
        <v>4</v>
      </c>
    </row>
    <row r="309" spans="1:22" x14ac:dyDescent="0.3">
      <c r="A309" t="s">
        <v>364</v>
      </c>
      <c r="B309" t="s">
        <v>38</v>
      </c>
      <c r="C309" t="s">
        <v>43</v>
      </c>
      <c r="D309" t="s">
        <v>26</v>
      </c>
      <c r="E309">
        <v>24</v>
      </c>
      <c r="F309" t="s">
        <v>31</v>
      </c>
      <c r="G309" t="s">
        <v>27</v>
      </c>
      <c r="H309" t="s">
        <v>36</v>
      </c>
      <c r="I309" s="1">
        <v>44790</v>
      </c>
      <c r="J309" s="1">
        <v>44803</v>
      </c>
      <c r="K309" s="1">
        <v>44807</v>
      </c>
      <c r="L309">
        <v>3</v>
      </c>
      <c r="M309">
        <v>9</v>
      </c>
      <c r="N309" t="s">
        <v>22</v>
      </c>
      <c r="O309">
        <v>799801</v>
      </c>
      <c r="U309">
        <f>Table1[[#This Row],[Interview_Date]]-Table1[[#This Row],[Application_Date]]</f>
        <v>13</v>
      </c>
      <c r="V309">
        <f>IF(OR(Table1[[#This Row],[Offer_Date]]="",Table1[[#This Row],[Interview_Date]]=""),"",Table1[[#This Row],[Offer_Date]]-Table1[[#This Row],[Interview_Date]])</f>
        <v>4</v>
      </c>
    </row>
    <row r="310" spans="1:22" x14ac:dyDescent="0.3">
      <c r="A310" t="s">
        <v>365</v>
      </c>
      <c r="B310" t="s">
        <v>58</v>
      </c>
      <c r="C310" t="s">
        <v>69</v>
      </c>
      <c r="D310" t="s">
        <v>18</v>
      </c>
      <c r="E310">
        <v>34</v>
      </c>
      <c r="F310" t="s">
        <v>74</v>
      </c>
      <c r="G310" t="s">
        <v>27</v>
      </c>
      <c r="H310" t="s">
        <v>54</v>
      </c>
      <c r="I310" s="1">
        <v>44700</v>
      </c>
      <c r="J310" s="1">
        <v>44707</v>
      </c>
      <c r="L310">
        <v>4</v>
      </c>
      <c r="M310">
        <v>7</v>
      </c>
      <c r="N310" t="s">
        <v>45</v>
      </c>
      <c r="O310">
        <v>308787</v>
      </c>
      <c r="U310">
        <f>Table1[[#This Row],[Interview_Date]]-Table1[[#This Row],[Application_Date]]</f>
        <v>7</v>
      </c>
      <c r="V310" t="str">
        <f>IF(OR(Table1[[#This Row],[Offer_Date]]="",Table1[[#This Row],[Interview_Date]]=""),"",Table1[[#This Row],[Offer_Date]]-Table1[[#This Row],[Interview_Date]])</f>
        <v/>
      </c>
    </row>
    <row r="311" spans="1:22" x14ac:dyDescent="0.3">
      <c r="A311" t="s">
        <v>366</v>
      </c>
      <c r="B311" t="s">
        <v>58</v>
      </c>
      <c r="C311" t="s">
        <v>43</v>
      </c>
      <c r="D311" t="s">
        <v>18</v>
      </c>
      <c r="E311">
        <v>41</v>
      </c>
      <c r="F311" t="s">
        <v>39</v>
      </c>
      <c r="G311" t="s">
        <v>27</v>
      </c>
      <c r="H311" t="s">
        <v>51</v>
      </c>
      <c r="I311" s="1">
        <v>45214</v>
      </c>
      <c r="J311" s="1">
        <v>45221</v>
      </c>
      <c r="K311" s="1">
        <v>45223</v>
      </c>
      <c r="L311">
        <v>1</v>
      </c>
      <c r="M311">
        <v>3</v>
      </c>
      <c r="N311" t="s">
        <v>28</v>
      </c>
      <c r="O311">
        <v>368896</v>
      </c>
      <c r="U311">
        <f>Table1[[#This Row],[Interview_Date]]-Table1[[#This Row],[Application_Date]]</f>
        <v>7</v>
      </c>
      <c r="V311">
        <f>IF(OR(Table1[[#This Row],[Offer_Date]]="",Table1[[#This Row],[Interview_Date]]=""),"",Table1[[#This Row],[Offer_Date]]-Table1[[#This Row],[Interview_Date]])</f>
        <v>2</v>
      </c>
    </row>
    <row r="312" spans="1:22" x14ac:dyDescent="0.3">
      <c r="A312" t="s">
        <v>367</v>
      </c>
      <c r="B312" t="s">
        <v>63</v>
      </c>
      <c r="C312" t="s">
        <v>59</v>
      </c>
      <c r="D312" t="s">
        <v>18</v>
      </c>
      <c r="E312">
        <v>30</v>
      </c>
      <c r="F312" t="s">
        <v>19</v>
      </c>
      <c r="G312" t="s">
        <v>27</v>
      </c>
      <c r="H312" t="s">
        <v>51</v>
      </c>
      <c r="I312" s="1">
        <v>44254</v>
      </c>
      <c r="J312" s="1">
        <v>44260</v>
      </c>
      <c r="K312" s="1">
        <v>44263</v>
      </c>
      <c r="L312">
        <v>4</v>
      </c>
      <c r="M312">
        <v>10</v>
      </c>
      <c r="N312" t="s">
        <v>22</v>
      </c>
      <c r="O312">
        <v>756428</v>
      </c>
      <c r="U312">
        <f>Table1[[#This Row],[Interview_Date]]-Table1[[#This Row],[Application_Date]]</f>
        <v>6</v>
      </c>
      <c r="V312">
        <f>IF(OR(Table1[[#This Row],[Offer_Date]]="",Table1[[#This Row],[Interview_Date]]=""),"",Table1[[#This Row],[Offer_Date]]-Table1[[#This Row],[Interview_Date]])</f>
        <v>3</v>
      </c>
    </row>
    <row r="313" spans="1:22" x14ac:dyDescent="0.3">
      <c r="A313" t="s">
        <v>368</v>
      </c>
      <c r="B313" t="s">
        <v>63</v>
      </c>
      <c r="C313" t="s">
        <v>69</v>
      </c>
      <c r="D313" t="s">
        <v>26</v>
      </c>
      <c r="E313">
        <v>23</v>
      </c>
      <c r="F313" t="s">
        <v>56</v>
      </c>
      <c r="G313" t="s">
        <v>44</v>
      </c>
      <c r="H313" t="s">
        <v>51</v>
      </c>
      <c r="I313" s="1">
        <v>44398</v>
      </c>
      <c r="J313" s="1">
        <v>44412</v>
      </c>
      <c r="L313">
        <v>3</v>
      </c>
      <c r="M313">
        <v>10</v>
      </c>
      <c r="N313" t="s">
        <v>45</v>
      </c>
      <c r="O313">
        <v>1199675</v>
      </c>
      <c r="U313">
        <f>Table1[[#This Row],[Interview_Date]]-Table1[[#This Row],[Application_Date]]</f>
        <v>14</v>
      </c>
      <c r="V313" t="str">
        <f>IF(OR(Table1[[#This Row],[Offer_Date]]="",Table1[[#This Row],[Interview_Date]]=""),"",Table1[[#This Row],[Offer_Date]]-Table1[[#This Row],[Interview_Date]])</f>
        <v/>
      </c>
    </row>
    <row r="314" spans="1:22" x14ac:dyDescent="0.3">
      <c r="A314" t="s">
        <v>369</v>
      </c>
      <c r="B314" t="s">
        <v>16</v>
      </c>
      <c r="C314" t="s">
        <v>94</v>
      </c>
      <c r="D314" t="s">
        <v>26</v>
      </c>
      <c r="E314">
        <v>23</v>
      </c>
      <c r="F314" t="s">
        <v>74</v>
      </c>
      <c r="G314" t="s">
        <v>35</v>
      </c>
      <c r="H314" t="s">
        <v>40</v>
      </c>
      <c r="I314" s="1">
        <v>44715</v>
      </c>
      <c r="J314" s="1">
        <v>44721</v>
      </c>
      <c r="L314">
        <v>4</v>
      </c>
      <c r="M314">
        <v>10</v>
      </c>
      <c r="N314" t="s">
        <v>28</v>
      </c>
      <c r="O314">
        <v>439555</v>
      </c>
      <c r="U314">
        <f>Table1[[#This Row],[Interview_Date]]-Table1[[#This Row],[Application_Date]]</f>
        <v>6</v>
      </c>
      <c r="V314" t="str">
        <f>IF(OR(Table1[[#This Row],[Offer_Date]]="",Table1[[#This Row],[Interview_Date]]=""),"",Table1[[#This Row],[Offer_Date]]-Table1[[#This Row],[Interview_Date]])</f>
        <v/>
      </c>
    </row>
    <row r="315" spans="1:22" x14ac:dyDescent="0.3">
      <c r="A315" t="s">
        <v>370</v>
      </c>
      <c r="B315" t="s">
        <v>58</v>
      </c>
      <c r="C315" t="s">
        <v>50</v>
      </c>
      <c r="D315" t="s">
        <v>26</v>
      </c>
      <c r="E315">
        <v>30</v>
      </c>
      <c r="F315" t="s">
        <v>56</v>
      </c>
      <c r="G315" t="s">
        <v>20</v>
      </c>
      <c r="H315" t="s">
        <v>36</v>
      </c>
      <c r="I315" s="1">
        <v>44649</v>
      </c>
      <c r="J315" s="1">
        <v>44661</v>
      </c>
      <c r="L315">
        <v>2</v>
      </c>
      <c r="M315">
        <v>2</v>
      </c>
      <c r="N315" t="s">
        <v>48</v>
      </c>
      <c r="O315">
        <v>574207</v>
      </c>
      <c r="U315">
        <f>Table1[[#This Row],[Interview_Date]]-Table1[[#This Row],[Application_Date]]</f>
        <v>12</v>
      </c>
      <c r="V315" t="str">
        <f>IF(OR(Table1[[#This Row],[Offer_Date]]="",Table1[[#This Row],[Interview_Date]]=""),"",Table1[[#This Row],[Offer_Date]]-Table1[[#This Row],[Interview_Date]])</f>
        <v/>
      </c>
    </row>
    <row r="316" spans="1:22" x14ac:dyDescent="0.3">
      <c r="A316" t="s">
        <v>371</v>
      </c>
      <c r="B316" t="s">
        <v>42</v>
      </c>
      <c r="C316" t="s">
        <v>66</v>
      </c>
      <c r="D316" t="s">
        <v>26</v>
      </c>
      <c r="E316">
        <v>44</v>
      </c>
      <c r="F316" t="s">
        <v>74</v>
      </c>
      <c r="G316" t="s">
        <v>44</v>
      </c>
      <c r="H316" t="s">
        <v>36</v>
      </c>
      <c r="I316" s="1">
        <v>45323</v>
      </c>
      <c r="J316" s="1">
        <v>45335</v>
      </c>
      <c r="L316">
        <v>2</v>
      </c>
      <c r="M316">
        <v>2</v>
      </c>
      <c r="N316" t="s">
        <v>48</v>
      </c>
      <c r="O316">
        <v>1127645</v>
      </c>
      <c r="U316">
        <f>Table1[[#This Row],[Interview_Date]]-Table1[[#This Row],[Application_Date]]</f>
        <v>12</v>
      </c>
      <c r="V316" t="str">
        <f>IF(OR(Table1[[#This Row],[Offer_Date]]="",Table1[[#This Row],[Interview_Date]]=""),"",Table1[[#This Row],[Offer_Date]]-Table1[[#This Row],[Interview_Date]])</f>
        <v/>
      </c>
    </row>
    <row r="317" spans="1:22" x14ac:dyDescent="0.3">
      <c r="A317" t="s">
        <v>372</v>
      </c>
      <c r="B317" t="s">
        <v>24</v>
      </c>
      <c r="C317" t="s">
        <v>66</v>
      </c>
      <c r="D317" t="s">
        <v>18</v>
      </c>
      <c r="E317">
        <v>28</v>
      </c>
      <c r="F317" t="s">
        <v>74</v>
      </c>
      <c r="G317" t="s">
        <v>44</v>
      </c>
      <c r="H317" t="s">
        <v>54</v>
      </c>
      <c r="I317" s="1">
        <v>45379</v>
      </c>
      <c r="J317" s="1">
        <v>45390</v>
      </c>
      <c r="K317" s="1">
        <v>45395</v>
      </c>
      <c r="L317">
        <v>4</v>
      </c>
      <c r="M317">
        <v>9</v>
      </c>
      <c r="N317" t="s">
        <v>28</v>
      </c>
      <c r="O317">
        <v>321374</v>
      </c>
      <c r="U317">
        <f>Table1[[#This Row],[Interview_Date]]-Table1[[#This Row],[Application_Date]]</f>
        <v>11</v>
      </c>
      <c r="V317">
        <f>IF(OR(Table1[[#This Row],[Offer_Date]]="",Table1[[#This Row],[Interview_Date]]=""),"",Table1[[#This Row],[Offer_Date]]-Table1[[#This Row],[Interview_Date]])</f>
        <v>5</v>
      </c>
    </row>
    <row r="318" spans="1:22" x14ac:dyDescent="0.3">
      <c r="A318" t="s">
        <v>373</v>
      </c>
      <c r="B318" t="s">
        <v>33</v>
      </c>
      <c r="C318" t="s">
        <v>50</v>
      </c>
      <c r="D318" t="s">
        <v>26</v>
      </c>
      <c r="E318">
        <v>31</v>
      </c>
      <c r="F318" t="s">
        <v>39</v>
      </c>
      <c r="G318" t="s">
        <v>44</v>
      </c>
      <c r="H318" t="s">
        <v>21</v>
      </c>
      <c r="I318" s="1">
        <v>44794</v>
      </c>
      <c r="J318" s="1">
        <v>44806</v>
      </c>
      <c r="L318">
        <v>3</v>
      </c>
      <c r="M318">
        <v>10</v>
      </c>
      <c r="N318" t="s">
        <v>22</v>
      </c>
      <c r="O318">
        <v>826080</v>
      </c>
      <c r="U318">
        <f>Table1[[#This Row],[Interview_Date]]-Table1[[#This Row],[Application_Date]]</f>
        <v>12</v>
      </c>
      <c r="V318" t="str">
        <f>IF(OR(Table1[[#This Row],[Offer_Date]]="",Table1[[#This Row],[Interview_Date]]=""),"",Table1[[#This Row],[Offer_Date]]-Table1[[#This Row],[Interview_Date]])</f>
        <v/>
      </c>
    </row>
    <row r="319" spans="1:22" x14ac:dyDescent="0.3">
      <c r="A319" t="s">
        <v>374</v>
      </c>
      <c r="B319" t="s">
        <v>24</v>
      </c>
      <c r="C319" t="s">
        <v>43</v>
      </c>
      <c r="D319" t="s">
        <v>18</v>
      </c>
      <c r="E319">
        <v>33</v>
      </c>
      <c r="F319" t="s">
        <v>31</v>
      </c>
      <c r="G319" t="s">
        <v>27</v>
      </c>
      <c r="H319" t="s">
        <v>36</v>
      </c>
      <c r="I319" s="1">
        <v>45067</v>
      </c>
      <c r="J319" s="1">
        <v>45073</v>
      </c>
      <c r="L319">
        <v>5</v>
      </c>
      <c r="M319">
        <v>4</v>
      </c>
      <c r="N319" t="s">
        <v>22</v>
      </c>
      <c r="O319">
        <v>387701</v>
      </c>
      <c r="U319">
        <f>Table1[[#This Row],[Interview_Date]]-Table1[[#This Row],[Application_Date]]</f>
        <v>6</v>
      </c>
      <c r="V319" t="str">
        <f>IF(OR(Table1[[#This Row],[Offer_Date]]="",Table1[[#This Row],[Interview_Date]]=""),"",Table1[[#This Row],[Offer_Date]]-Table1[[#This Row],[Interview_Date]])</f>
        <v/>
      </c>
    </row>
    <row r="320" spans="1:22" x14ac:dyDescent="0.3">
      <c r="A320" t="s">
        <v>375</v>
      </c>
      <c r="B320" t="s">
        <v>24</v>
      </c>
      <c r="C320" t="s">
        <v>69</v>
      </c>
      <c r="D320" t="s">
        <v>18</v>
      </c>
      <c r="E320">
        <v>31</v>
      </c>
      <c r="F320" t="s">
        <v>56</v>
      </c>
      <c r="G320" t="s">
        <v>20</v>
      </c>
      <c r="H320" t="s">
        <v>21</v>
      </c>
      <c r="I320" s="1">
        <v>44851</v>
      </c>
      <c r="J320" s="1">
        <v>44866</v>
      </c>
      <c r="K320" s="1">
        <v>44869</v>
      </c>
      <c r="L320">
        <v>4</v>
      </c>
      <c r="M320">
        <v>4</v>
      </c>
      <c r="N320" t="s">
        <v>22</v>
      </c>
      <c r="O320">
        <v>776164</v>
      </c>
      <c r="U320">
        <f>Table1[[#This Row],[Interview_Date]]-Table1[[#This Row],[Application_Date]]</f>
        <v>15</v>
      </c>
      <c r="V320">
        <f>IF(OR(Table1[[#This Row],[Offer_Date]]="",Table1[[#This Row],[Interview_Date]]=""),"",Table1[[#This Row],[Offer_Date]]-Table1[[#This Row],[Interview_Date]])</f>
        <v>3</v>
      </c>
    </row>
    <row r="321" spans="1:22" x14ac:dyDescent="0.3">
      <c r="A321" t="s">
        <v>376</v>
      </c>
      <c r="B321" t="s">
        <v>33</v>
      </c>
      <c r="C321" t="s">
        <v>50</v>
      </c>
      <c r="D321" t="s">
        <v>26</v>
      </c>
      <c r="E321">
        <v>43</v>
      </c>
      <c r="F321" t="s">
        <v>31</v>
      </c>
      <c r="G321" t="s">
        <v>20</v>
      </c>
      <c r="H321" t="s">
        <v>36</v>
      </c>
      <c r="I321" s="1">
        <v>44313</v>
      </c>
      <c r="J321" s="1">
        <v>44323</v>
      </c>
      <c r="K321" s="1">
        <v>44330</v>
      </c>
      <c r="L321">
        <v>3</v>
      </c>
      <c r="M321">
        <v>4</v>
      </c>
      <c r="N321" t="s">
        <v>22</v>
      </c>
      <c r="O321">
        <v>465447</v>
      </c>
      <c r="U321">
        <f>Table1[[#This Row],[Interview_Date]]-Table1[[#This Row],[Application_Date]]</f>
        <v>10</v>
      </c>
      <c r="V321">
        <f>IF(OR(Table1[[#This Row],[Offer_Date]]="",Table1[[#This Row],[Interview_Date]]=""),"",Table1[[#This Row],[Offer_Date]]-Table1[[#This Row],[Interview_Date]])</f>
        <v>7</v>
      </c>
    </row>
    <row r="322" spans="1:22" x14ac:dyDescent="0.3">
      <c r="A322" t="s">
        <v>377</v>
      </c>
      <c r="B322" t="s">
        <v>38</v>
      </c>
      <c r="C322" t="s">
        <v>43</v>
      </c>
      <c r="D322" t="s">
        <v>26</v>
      </c>
      <c r="E322">
        <v>45</v>
      </c>
      <c r="F322" t="s">
        <v>34</v>
      </c>
      <c r="G322" t="s">
        <v>44</v>
      </c>
      <c r="H322" t="s">
        <v>54</v>
      </c>
      <c r="I322" s="1">
        <v>44301</v>
      </c>
      <c r="J322" s="1">
        <v>44309</v>
      </c>
      <c r="L322">
        <v>3</v>
      </c>
      <c r="M322">
        <v>9</v>
      </c>
      <c r="N322" t="s">
        <v>28</v>
      </c>
      <c r="O322">
        <v>1120628</v>
      </c>
      <c r="U322">
        <f>Table1[[#This Row],[Interview_Date]]-Table1[[#This Row],[Application_Date]]</f>
        <v>8</v>
      </c>
      <c r="V322" t="str">
        <f>IF(OR(Table1[[#This Row],[Offer_Date]]="",Table1[[#This Row],[Interview_Date]]=""),"",Table1[[#This Row],[Offer_Date]]-Table1[[#This Row],[Interview_Date]])</f>
        <v/>
      </c>
    </row>
    <row r="323" spans="1:22" x14ac:dyDescent="0.3">
      <c r="A323" t="s">
        <v>378</v>
      </c>
      <c r="B323" t="s">
        <v>63</v>
      </c>
      <c r="C323" t="s">
        <v>43</v>
      </c>
      <c r="D323" t="s">
        <v>18</v>
      </c>
      <c r="E323">
        <v>25</v>
      </c>
      <c r="F323" t="s">
        <v>39</v>
      </c>
      <c r="G323" t="s">
        <v>35</v>
      </c>
      <c r="H323" t="s">
        <v>21</v>
      </c>
      <c r="I323" s="1">
        <v>44444</v>
      </c>
      <c r="J323" s="1">
        <v>44455</v>
      </c>
      <c r="L323">
        <v>1</v>
      </c>
      <c r="M323">
        <v>7</v>
      </c>
      <c r="N323" t="s">
        <v>28</v>
      </c>
      <c r="O323">
        <v>1154938</v>
      </c>
      <c r="U323">
        <f>Table1[[#This Row],[Interview_Date]]-Table1[[#This Row],[Application_Date]]</f>
        <v>11</v>
      </c>
      <c r="V323" t="str">
        <f>IF(OR(Table1[[#This Row],[Offer_Date]]="",Table1[[#This Row],[Interview_Date]]=""),"",Table1[[#This Row],[Offer_Date]]-Table1[[#This Row],[Interview_Date]])</f>
        <v/>
      </c>
    </row>
    <row r="324" spans="1:22" x14ac:dyDescent="0.3">
      <c r="A324" t="s">
        <v>379</v>
      </c>
      <c r="B324" t="s">
        <v>58</v>
      </c>
      <c r="C324" t="s">
        <v>53</v>
      </c>
      <c r="D324" t="s">
        <v>18</v>
      </c>
      <c r="E324">
        <v>35</v>
      </c>
      <c r="F324" t="s">
        <v>19</v>
      </c>
      <c r="G324" t="s">
        <v>60</v>
      </c>
      <c r="H324" t="s">
        <v>40</v>
      </c>
      <c r="I324" s="1">
        <v>44202</v>
      </c>
      <c r="J324" s="1">
        <v>44210</v>
      </c>
      <c r="K324" s="1">
        <v>44213</v>
      </c>
      <c r="L324">
        <v>3</v>
      </c>
      <c r="M324">
        <v>8</v>
      </c>
      <c r="N324" t="s">
        <v>22</v>
      </c>
      <c r="O324">
        <v>336077</v>
      </c>
      <c r="U324">
        <f>Table1[[#This Row],[Interview_Date]]-Table1[[#This Row],[Application_Date]]</f>
        <v>8</v>
      </c>
      <c r="V324">
        <f>IF(OR(Table1[[#This Row],[Offer_Date]]="",Table1[[#This Row],[Interview_Date]]=""),"",Table1[[#This Row],[Offer_Date]]-Table1[[#This Row],[Interview_Date]])</f>
        <v>3</v>
      </c>
    </row>
    <row r="325" spans="1:22" x14ac:dyDescent="0.3">
      <c r="A325" t="s">
        <v>380</v>
      </c>
      <c r="B325" t="s">
        <v>72</v>
      </c>
      <c r="C325" t="s">
        <v>17</v>
      </c>
      <c r="D325" t="s">
        <v>26</v>
      </c>
      <c r="E325">
        <v>22</v>
      </c>
      <c r="F325" t="s">
        <v>31</v>
      </c>
      <c r="G325" t="s">
        <v>27</v>
      </c>
      <c r="H325" t="s">
        <v>40</v>
      </c>
      <c r="I325" s="1">
        <v>44952</v>
      </c>
      <c r="J325" s="1">
        <v>44965</v>
      </c>
      <c r="K325" s="1">
        <v>44972</v>
      </c>
      <c r="L325">
        <v>3</v>
      </c>
      <c r="M325">
        <v>8</v>
      </c>
      <c r="N325" t="s">
        <v>22</v>
      </c>
      <c r="O325">
        <v>913175</v>
      </c>
      <c r="U325">
        <f>Table1[[#This Row],[Interview_Date]]-Table1[[#This Row],[Application_Date]]</f>
        <v>13</v>
      </c>
      <c r="V325">
        <f>IF(OR(Table1[[#This Row],[Offer_Date]]="",Table1[[#This Row],[Interview_Date]]=""),"",Table1[[#This Row],[Offer_Date]]-Table1[[#This Row],[Interview_Date]])</f>
        <v>7</v>
      </c>
    </row>
    <row r="326" spans="1:22" x14ac:dyDescent="0.3">
      <c r="A326" t="s">
        <v>381</v>
      </c>
      <c r="B326" t="s">
        <v>38</v>
      </c>
      <c r="C326" t="s">
        <v>69</v>
      </c>
      <c r="D326" t="s">
        <v>18</v>
      </c>
      <c r="E326">
        <v>35</v>
      </c>
      <c r="F326" t="s">
        <v>74</v>
      </c>
      <c r="G326" t="s">
        <v>35</v>
      </c>
      <c r="H326" t="s">
        <v>51</v>
      </c>
      <c r="I326" s="1">
        <v>44879</v>
      </c>
      <c r="J326" s="1">
        <v>44887</v>
      </c>
      <c r="K326" s="1">
        <v>44889</v>
      </c>
      <c r="L326">
        <v>3</v>
      </c>
      <c r="M326">
        <v>6</v>
      </c>
      <c r="N326" t="s">
        <v>22</v>
      </c>
      <c r="O326">
        <v>533576</v>
      </c>
      <c r="U326">
        <f>Table1[[#This Row],[Interview_Date]]-Table1[[#This Row],[Application_Date]]</f>
        <v>8</v>
      </c>
      <c r="V326">
        <f>IF(OR(Table1[[#This Row],[Offer_Date]]="",Table1[[#This Row],[Interview_Date]]=""),"",Table1[[#This Row],[Offer_Date]]-Table1[[#This Row],[Interview_Date]])</f>
        <v>2</v>
      </c>
    </row>
    <row r="327" spans="1:22" x14ac:dyDescent="0.3">
      <c r="A327" t="s">
        <v>382</v>
      </c>
      <c r="B327" t="s">
        <v>24</v>
      </c>
      <c r="C327" t="s">
        <v>50</v>
      </c>
      <c r="D327" t="s">
        <v>18</v>
      </c>
      <c r="E327">
        <v>45</v>
      </c>
      <c r="F327" t="s">
        <v>34</v>
      </c>
      <c r="G327" t="s">
        <v>35</v>
      </c>
      <c r="H327" t="s">
        <v>21</v>
      </c>
      <c r="I327" s="1">
        <v>44724</v>
      </c>
      <c r="J327" s="1">
        <v>44728</v>
      </c>
      <c r="K327" s="1">
        <v>44731</v>
      </c>
      <c r="L327">
        <v>2</v>
      </c>
      <c r="M327">
        <v>5</v>
      </c>
      <c r="N327" t="s">
        <v>48</v>
      </c>
      <c r="O327">
        <v>342293</v>
      </c>
      <c r="U327">
        <f>Table1[[#This Row],[Interview_Date]]-Table1[[#This Row],[Application_Date]]</f>
        <v>4</v>
      </c>
      <c r="V327">
        <f>IF(OR(Table1[[#This Row],[Offer_Date]]="",Table1[[#This Row],[Interview_Date]]=""),"",Table1[[#This Row],[Offer_Date]]-Table1[[#This Row],[Interview_Date]])</f>
        <v>3</v>
      </c>
    </row>
    <row r="328" spans="1:22" x14ac:dyDescent="0.3">
      <c r="A328" t="s">
        <v>383</v>
      </c>
      <c r="B328" t="s">
        <v>42</v>
      </c>
      <c r="C328" t="s">
        <v>25</v>
      </c>
      <c r="D328" t="s">
        <v>18</v>
      </c>
      <c r="E328">
        <v>28</v>
      </c>
      <c r="F328" t="s">
        <v>31</v>
      </c>
      <c r="G328" t="s">
        <v>60</v>
      </c>
      <c r="H328" t="s">
        <v>21</v>
      </c>
      <c r="I328" s="1">
        <v>45201</v>
      </c>
      <c r="J328" s="1">
        <v>45204</v>
      </c>
      <c r="K328" s="1">
        <v>45207</v>
      </c>
      <c r="L328">
        <v>3</v>
      </c>
      <c r="M328">
        <v>10</v>
      </c>
      <c r="N328" t="s">
        <v>48</v>
      </c>
      <c r="O328">
        <v>790239</v>
      </c>
      <c r="U328">
        <f>Table1[[#This Row],[Interview_Date]]-Table1[[#This Row],[Application_Date]]</f>
        <v>3</v>
      </c>
      <c r="V328">
        <f>IF(OR(Table1[[#This Row],[Offer_Date]]="",Table1[[#This Row],[Interview_Date]]=""),"",Table1[[#This Row],[Offer_Date]]-Table1[[#This Row],[Interview_Date]])</f>
        <v>3</v>
      </c>
    </row>
    <row r="329" spans="1:22" x14ac:dyDescent="0.3">
      <c r="A329" t="s">
        <v>384</v>
      </c>
      <c r="B329" t="s">
        <v>63</v>
      </c>
      <c r="C329" t="s">
        <v>59</v>
      </c>
      <c r="D329" t="s">
        <v>18</v>
      </c>
      <c r="E329">
        <v>28</v>
      </c>
      <c r="F329" t="s">
        <v>74</v>
      </c>
      <c r="G329" t="s">
        <v>20</v>
      </c>
      <c r="H329" t="s">
        <v>54</v>
      </c>
      <c r="I329" s="1">
        <v>44370</v>
      </c>
      <c r="J329" s="1">
        <v>44383</v>
      </c>
      <c r="K329" s="1">
        <v>44386</v>
      </c>
      <c r="L329">
        <v>3</v>
      </c>
      <c r="M329">
        <v>5</v>
      </c>
      <c r="N329" t="s">
        <v>45</v>
      </c>
      <c r="O329">
        <v>1172499</v>
      </c>
      <c r="U329">
        <f>Table1[[#This Row],[Interview_Date]]-Table1[[#This Row],[Application_Date]]</f>
        <v>13</v>
      </c>
      <c r="V329">
        <f>IF(OR(Table1[[#This Row],[Offer_Date]]="",Table1[[#This Row],[Interview_Date]]=""),"",Table1[[#This Row],[Offer_Date]]-Table1[[#This Row],[Interview_Date]])</f>
        <v>3</v>
      </c>
    </row>
    <row r="330" spans="1:22" x14ac:dyDescent="0.3">
      <c r="A330" t="s">
        <v>385</v>
      </c>
      <c r="B330" t="s">
        <v>72</v>
      </c>
      <c r="C330" t="s">
        <v>50</v>
      </c>
      <c r="D330" t="s">
        <v>26</v>
      </c>
      <c r="E330">
        <v>25</v>
      </c>
      <c r="F330" t="s">
        <v>39</v>
      </c>
      <c r="G330" t="s">
        <v>60</v>
      </c>
      <c r="H330" t="s">
        <v>40</v>
      </c>
      <c r="I330" s="1">
        <v>44282</v>
      </c>
      <c r="J330" s="1">
        <v>44286</v>
      </c>
      <c r="L330">
        <v>3</v>
      </c>
      <c r="M330">
        <v>8</v>
      </c>
      <c r="N330" t="s">
        <v>45</v>
      </c>
      <c r="O330">
        <v>691727</v>
      </c>
      <c r="U330">
        <f>Table1[[#This Row],[Interview_Date]]-Table1[[#This Row],[Application_Date]]</f>
        <v>4</v>
      </c>
      <c r="V330" t="str">
        <f>IF(OR(Table1[[#This Row],[Offer_Date]]="",Table1[[#This Row],[Interview_Date]]=""),"",Table1[[#This Row],[Offer_Date]]-Table1[[#This Row],[Interview_Date]])</f>
        <v/>
      </c>
    </row>
    <row r="331" spans="1:22" x14ac:dyDescent="0.3">
      <c r="A331" t="s">
        <v>386</v>
      </c>
      <c r="B331" t="s">
        <v>42</v>
      </c>
      <c r="C331" t="s">
        <v>25</v>
      </c>
      <c r="D331" t="s">
        <v>26</v>
      </c>
      <c r="E331">
        <v>31</v>
      </c>
      <c r="F331" t="s">
        <v>19</v>
      </c>
      <c r="G331" t="s">
        <v>44</v>
      </c>
      <c r="H331" t="s">
        <v>21</v>
      </c>
      <c r="I331" s="1">
        <v>44875</v>
      </c>
      <c r="J331" s="1">
        <v>44882</v>
      </c>
      <c r="K331" s="1">
        <v>44886</v>
      </c>
      <c r="L331">
        <v>2</v>
      </c>
      <c r="M331">
        <v>4</v>
      </c>
      <c r="N331" t="s">
        <v>28</v>
      </c>
      <c r="O331">
        <v>594600</v>
      </c>
      <c r="U331">
        <f>Table1[[#This Row],[Interview_Date]]-Table1[[#This Row],[Application_Date]]</f>
        <v>7</v>
      </c>
      <c r="V331">
        <f>IF(OR(Table1[[#This Row],[Offer_Date]]="",Table1[[#This Row],[Interview_Date]]=""),"",Table1[[#This Row],[Offer_Date]]-Table1[[#This Row],[Interview_Date]])</f>
        <v>4</v>
      </c>
    </row>
    <row r="332" spans="1:22" x14ac:dyDescent="0.3">
      <c r="A332" t="s">
        <v>387</v>
      </c>
      <c r="B332" t="s">
        <v>58</v>
      </c>
      <c r="C332" t="s">
        <v>50</v>
      </c>
      <c r="D332" t="s">
        <v>18</v>
      </c>
      <c r="E332">
        <v>30</v>
      </c>
      <c r="F332" t="s">
        <v>31</v>
      </c>
      <c r="G332" t="s">
        <v>44</v>
      </c>
      <c r="H332" t="s">
        <v>21</v>
      </c>
      <c r="I332" s="1">
        <v>44490</v>
      </c>
      <c r="J332" s="1">
        <v>44504</v>
      </c>
      <c r="L332">
        <v>5</v>
      </c>
      <c r="M332">
        <v>3</v>
      </c>
      <c r="N332" t="s">
        <v>28</v>
      </c>
      <c r="O332">
        <v>663139</v>
      </c>
      <c r="U332">
        <f>Table1[[#This Row],[Interview_Date]]-Table1[[#This Row],[Application_Date]]</f>
        <v>14</v>
      </c>
      <c r="V332" t="str">
        <f>IF(OR(Table1[[#This Row],[Offer_Date]]="",Table1[[#This Row],[Interview_Date]]=""),"",Table1[[#This Row],[Offer_Date]]-Table1[[#This Row],[Interview_Date]])</f>
        <v/>
      </c>
    </row>
    <row r="333" spans="1:22" x14ac:dyDescent="0.3">
      <c r="A333" t="s">
        <v>388</v>
      </c>
      <c r="B333" t="s">
        <v>65</v>
      </c>
      <c r="C333" t="s">
        <v>17</v>
      </c>
      <c r="D333" t="s">
        <v>18</v>
      </c>
      <c r="E333">
        <v>25</v>
      </c>
      <c r="F333" t="s">
        <v>56</v>
      </c>
      <c r="G333" t="s">
        <v>44</v>
      </c>
      <c r="H333" t="s">
        <v>21</v>
      </c>
      <c r="I333" s="1">
        <v>45299</v>
      </c>
      <c r="J333" s="1">
        <v>45306</v>
      </c>
      <c r="L333">
        <v>1</v>
      </c>
      <c r="M333">
        <v>2</v>
      </c>
      <c r="N333" t="s">
        <v>28</v>
      </c>
      <c r="O333">
        <v>682202</v>
      </c>
      <c r="U333">
        <f>Table1[[#This Row],[Interview_Date]]-Table1[[#This Row],[Application_Date]]</f>
        <v>7</v>
      </c>
      <c r="V333" t="str">
        <f>IF(OR(Table1[[#This Row],[Offer_Date]]="",Table1[[#This Row],[Interview_Date]]=""),"",Table1[[#This Row],[Offer_Date]]-Table1[[#This Row],[Interview_Date]])</f>
        <v/>
      </c>
    </row>
    <row r="334" spans="1:22" x14ac:dyDescent="0.3">
      <c r="A334" t="s">
        <v>389</v>
      </c>
      <c r="B334" t="s">
        <v>38</v>
      </c>
      <c r="C334" t="s">
        <v>30</v>
      </c>
      <c r="D334" t="s">
        <v>18</v>
      </c>
      <c r="E334">
        <v>44</v>
      </c>
      <c r="F334" t="s">
        <v>74</v>
      </c>
      <c r="G334" t="s">
        <v>60</v>
      </c>
      <c r="H334" t="s">
        <v>36</v>
      </c>
      <c r="I334" s="1">
        <v>44976</v>
      </c>
      <c r="J334" s="1">
        <v>44983</v>
      </c>
      <c r="L334">
        <v>3</v>
      </c>
      <c r="M334">
        <v>8</v>
      </c>
      <c r="N334" t="s">
        <v>48</v>
      </c>
      <c r="O334">
        <v>361539</v>
      </c>
      <c r="U334">
        <f>Table1[[#This Row],[Interview_Date]]-Table1[[#This Row],[Application_Date]]</f>
        <v>7</v>
      </c>
      <c r="V334" t="str">
        <f>IF(OR(Table1[[#This Row],[Offer_Date]]="",Table1[[#This Row],[Interview_Date]]=""),"",Table1[[#This Row],[Offer_Date]]-Table1[[#This Row],[Interview_Date]])</f>
        <v/>
      </c>
    </row>
    <row r="335" spans="1:22" x14ac:dyDescent="0.3">
      <c r="A335" t="s">
        <v>390</v>
      </c>
      <c r="B335" t="s">
        <v>65</v>
      </c>
      <c r="C335" t="s">
        <v>69</v>
      </c>
      <c r="D335" t="s">
        <v>26</v>
      </c>
      <c r="E335">
        <v>43</v>
      </c>
      <c r="F335" t="s">
        <v>31</v>
      </c>
      <c r="G335" t="s">
        <v>35</v>
      </c>
      <c r="H335" t="s">
        <v>40</v>
      </c>
      <c r="I335" s="1">
        <v>44649</v>
      </c>
      <c r="J335" s="1">
        <v>44657</v>
      </c>
      <c r="L335">
        <v>1</v>
      </c>
      <c r="M335">
        <v>3</v>
      </c>
      <c r="N335" t="s">
        <v>45</v>
      </c>
      <c r="O335">
        <v>728529</v>
      </c>
      <c r="U335">
        <f>Table1[[#This Row],[Interview_Date]]-Table1[[#This Row],[Application_Date]]</f>
        <v>8</v>
      </c>
      <c r="V335" t="str">
        <f>IF(OR(Table1[[#This Row],[Offer_Date]]="",Table1[[#This Row],[Interview_Date]]=""),"",Table1[[#This Row],[Offer_Date]]-Table1[[#This Row],[Interview_Date]])</f>
        <v/>
      </c>
    </row>
    <row r="336" spans="1:22" x14ac:dyDescent="0.3">
      <c r="A336" t="s">
        <v>391</v>
      </c>
      <c r="B336" t="s">
        <v>58</v>
      </c>
      <c r="C336" t="s">
        <v>50</v>
      </c>
      <c r="D336" t="s">
        <v>26</v>
      </c>
      <c r="E336">
        <v>30</v>
      </c>
      <c r="F336" t="s">
        <v>19</v>
      </c>
      <c r="G336" t="s">
        <v>44</v>
      </c>
      <c r="H336" t="s">
        <v>51</v>
      </c>
      <c r="I336" s="1">
        <v>45357</v>
      </c>
      <c r="J336" s="1">
        <v>45361</v>
      </c>
      <c r="K336" s="1">
        <v>45365</v>
      </c>
      <c r="L336">
        <v>3</v>
      </c>
      <c r="M336">
        <v>7</v>
      </c>
      <c r="N336" t="s">
        <v>45</v>
      </c>
      <c r="O336">
        <v>1030842</v>
      </c>
      <c r="U336">
        <f>Table1[[#This Row],[Interview_Date]]-Table1[[#This Row],[Application_Date]]</f>
        <v>4</v>
      </c>
      <c r="V336">
        <f>IF(OR(Table1[[#This Row],[Offer_Date]]="",Table1[[#This Row],[Interview_Date]]=""),"",Table1[[#This Row],[Offer_Date]]-Table1[[#This Row],[Interview_Date]])</f>
        <v>4</v>
      </c>
    </row>
    <row r="337" spans="1:22" x14ac:dyDescent="0.3">
      <c r="A337" t="s">
        <v>392</v>
      </c>
      <c r="B337" t="s">
        <v>38</v>
      </c>
      <c r="C337" t="s">
        <v>94</v>
      </c>
      <c r="D337" t="s">
        <v>18</v>
      </c>
      <c r="E337">
        <v>45</v>
      </c>
      <c r="F337" t="s">
        <v>74</v>
      </c>
      <c r="G337" t="s">
        <v>35</v>
      </c>
      <c r="H337" t="s">
        <v>36</v>
      </c>
      <c r="I337" s="1">
        <v>44969</v>
      </c>
      <c r="J337" s="1">
        <v>44977</v>
      </c>
      <c r="K337" s="1">
        <v>44984</v>
      </c>
      <c r="L337">
        <v>1</v>
      </c>
      <c r="M337">
        <v>9</v>
      </c>
      <c r="N337" t="s">
        <v>28</v>
      </c>
      <c r="O337">
        <v>885163</v>
      </c>
      <c r="U337">
        <f>Table1[[#This Row],[Interview_Date]]-Table1[[#This Row],[Application_Date]]</f>
        <v>8</v>
      </c>
      <c r="V337">
        <f>IF(OR(Table1[[#This Row],[Offer_Date]]="",Table1[[#This Row],[Interview_Date]]=""),"",Table1[[#This Row],[Offer_Date]]-Table1[[#This Row],[Interview_Date]])</f>
        <v>7</v>
      </c>
    </row>
    <row r="338" spans="1:22" x14ac:dyDescent="0.3">
      <c r="A338" t="s">
        <v>393</v>
      </c>
      <c r="B338" t="s">
        <v>58</v>
      </c>
      <c r="C338" t="s">
        <v>59</v>
      </c>
      <c r="D338" t="s">
        <v>18</v>
      </c>
      <c r="E338">
        <v>26</v>
      </c>
      <c r="F338" t="s">
        <v>34</v>
      </c>
      <c r="G338" t="s">
        <v>60</v>
      </c>
      <c r="H338" t="s">
        <v>36</v>
      </c>
      <c r="I338" s="1">
        <v>44788</v>
      </c>
      <c r="J338" s="1">
        <v>44792</v>
      </c>
      <c r="L338">
        <v>3</v>
      </c>
      <c r="M338">
        <v>3</v>
      </c>
      <c r="N338" t="s">
        <v>28</v>
      </c>
      <c r="O338">
        <v>463518</v>
      </c>
      <c r="U338">
        <f>Table1[[#This Row],[Interview_Date]]-Table1[[#This Row],[Application_Date]]</f>
        <v>4</v>
      </c>
      <c r="V338" t="str">
        <f>IF(OR(Table1[[#This Row],[Offer_Date]]="",Table1[[#This Row],[Interview_Date]]=""),"",Table1[[#This Row],[Offer_Date]]-Table1[[#This Row],[Interview_Date]])</f>
        <v/>
      </c>
    </row>
    <row r="339" spans="1:22" x14ac:dyDescent="0.3">
      <c r="A339" t="s">
        <v>394</v>
      </c>
      <c r="B339" t="s">
        <v>38</v>
      </c>
      <c r="C339" t="s">
        <v>50</v>
      </c>
      <c r="D339" t="s">
        <v>26</v>
      </c>
      <c r="E339">
        <v>42</v>
      </c>
      <c r="F339" t="s">
        <v>31</v>
      </c>
      <c r="G339" t="s">
        <v>60</v>
      </c>
      <c r="H339" t="s">
        <v>21</v>
      </c>
      <c r="I339" s="1">
        <v>44653</v>
      </c>
      <c r="J339" s="1">
        <v>44659</v>
      </c>
      <c r="K339" s="1">
        <v>44664</v>
      </c>
      <c r="L339">
        <v>3</v>
      </c>
      <c r="M339">
        <v>9</v>
      </c>
      <c r="N339" t="s">
        <v>22</v>
      </c>
      <c r="O339">
        <v>497987</v>
      </c>
      <c r="U339">
        <f>Table1[[#This Row],[Interview_Date]]-Table1[[#This Row],[Application_Date]]</f>
        <v>6</v>
      </c>
      <c r="V339">
        <f>IF(OR(Table1[[#This Row],[Offer_Date]]="",Table1[[#This Row],[Interview_Date]]=""),"",Table1[[#This Row],[Offer_Date]]-Table1[[#This Row],[Interview_Date]])</f>
        <v>5</v>
      </c>
    </row>
    <row r="340" spans="1:22" x14ac:dyDescent="0.3">
      <c r="A340" t="s">
        <v>395</v>
      </c>
      <c r="B340" t="s">
        <v>47</v>
      </c>
      <c r="C340" t="s">
        <v>69</v>
      </c>
      <c r="D340" t="s">
        <v>18</v>
      </c>
      <c r="E340">
        <v>30</v>
      </c>
      <c r="F340" t="s">
        <v>56</v>
      </c>
      <c r="G340" t="s">
        <v>27</v>
      </c>
      <c r="H340" t="s">
        <v>54</v>
      </c>
      <c r="I340" s="1">
        <v>44336</v>
      </c>
      <c r="J340" s="1">
        <v>44341</v>
      </c>
      <c r="K340" s="1">
        <v>44344</v>
      </c>
      <c r="L340">
        <v>4</v>
      </c>
      <c r="M340">
        <v>9</v>
      </c>
      <c r="N340" t="s">
        <v>48</v>
      </c>
      <c r="O340">
        <v>322709</v>
      </c>
      <c r="U340">
        <f>Table1[[#This Row],[Interview_Date]]-Table1[[#This Row],[Application_Date]]</f>
        <v>5</v>
      </c>
      <c r="V340">
        <f>IF(OR(Table1[[#This Row],[Offer_Date]]="",Table1[[#This Row],[Interview_Date]]=""),"",Table1[[#This Row],[Offer_Date]]-Table1[[#This Row],[Interview_Date]])</f>
        <v>3</v>
      </c>
    </row>
    <row r="341" spans="1:22" x14ac:dyDescent="0.3">
      <c r="A341" t="s">
        <v>396</v>
      </c>
      <c r="B341" t="s">
        <v>16</v>
      </c>
      <c r="C341" t="s">
        <v>30</v>
      </c>
      <c r="D341" t="s">
        <v>26</v>
      </c>
      <c r="E341">
        <v>42</v>
      </c>
      <c r="F341" t="s">
        <v>56</v>
      </c>
      <c r="G341" t="s">
        <v>44</v>
      </c>
      <c r="H341" t="s">
        <v>36</v>
      </c>
      <c r="I341" s="1">
        <v>44438</v>
      </c>
      <c r="J341" s="1">
        <v>44451</v>
      </c>
      <c r="L341">
        <v>5</v>
      </c>
      <c r="M341">
        <v>3</v>
      </c>
      <c r="N341" t="s">
        <v>22</v>
      </c>
      <c r="O341">
        <v>1122400</v>
      </c>
      <c r="U341">
        <f>Table1[[#This Row],[Interview_Date]]-Table1[[#This Row],[Application_Date]]</f>
        <v>13</v>
      </c>
      <c r="V341" t="str">
        <f>IF(OR(Table1[[#This Row],[Offer_Date]]="",Table1[[#This Row],[Interview_Date]]=""),"",Table1[[#This Row],[Offer_Date]]-Table1[[#This Row],[Interview_Date]])</f>
        <v/>
      </c>
    </row>
    <row r="342" spans="1:22" x14ac:dyDescent="0.3">
      <c r="A342" t="s">
        <v>397</v>
      </c>
      <c r="B342" t="s">
        <v>42</v>
      </c>
      <c r="C342" t="s">
        <v>25</v>
      </c>
      <c r="D342" t="s">
        <v>26</v>
      </c>
      <c r="E342">
        <v>36</v>
      </c>
      <c r="F342" t="s">
        <v>74</v>
      </c>
      <c r="G342" t="s">
        <v>44</v>
      </c>
      <c r="H342" t="s">
        <v>51</v>
      </c>
      <c r="I342" s="1">
        <v>45106</v>
      </c>
      <c r="J342" s="1">
        <v>45119</v>
      </c>
      <c r="L342">
        <v>4</v>
      </c>
      <c r="M342">
        <v>7</v>
      </c>
      <c r="N342" t="s">
        <v>45</v>
      </c>
      <c r="O342">
        <v>708069</v>
      </c>
      <c r="U342">
        <f>Table1[[#This Row],[Interview_Date]]-Table1[[#This Row],[Application_Date]]</f>
        <v>13</v>
      </c>
      <c r="V342" t="str">
        <f>IF(OR(Table1[[#This Row],[Offer_Date]]="",Table1[[#This Row],[Interview_Date]]=""),"",Table1[[#This Row],[Offer_Date]]-Table1[[#This Row],[Interview_Date]])</f>
        <v/>
      </c>
    </row>
    <row r="343" spans="1:22" x14ac:dyDescent="0.3">
      <c r="A343" t="s">
        <v>398</v>
      </c>
      <c r="B343" t="s">
        <v>42</v>
      </c>
      <c r="C343" t="s">
        <v>43</v>
      </c>
      <c r="D343" t="s">
        <v>26</v>
      </c>
      <c r="E343">
        <v>39</v>
      </c>
      <c r="F343" t="s">
        <v>74</v>
      </c>
      <c r="G343" t="s">
        <v>60</v>
      </c>
      <c r="H343" t="s">
        <v>54</v>
      </c>
      <c r="I343" s="1">
        <v>44204</v>
      </c>
      <c r="J343" s="1">
        <v>44215</v>
      </c>
      <c r="K343" s="1">
        <v>44222</v>
      </c>
      <c r="L343">
        <v>1</v>
      </c>
      <c r="M343">
        <v>10</v>
      </c>
      <c r="N343" t="s">
        <v>22</v>
      </c>
      <c r="O343">
        <v>827877</v>
      </c>
      <c r="U343">
        <f>Table1[[#This Row],[Interview_Date]]-Table1[[#This Row],[Application_Date]]</f>
        <v>11</v>
      </c>
      <c r="V343">
        <f>IF(OR(Table1[[#This Row],[Offer_Date]]="",Table1[[#This Row],[Interview_Date]]=""),"",Table1[[#This Row],[Offer_Date]]-Table1[[#This Row],[Interview_Date]])</f>
        <v>7</v>
      </c>
    </row>
    <row r="344" spans="1:22" x14ac:dyDescent="0.3">
      <c r="A344" t="s">
        <v>399</v>
      </c>
      <c r="B344" t="s">
        <v>65</v>
      </c>
      <c r="C344" t="s">
        <v>50</v>
      </c>
      <c r="D344" t="s">
        <v>18</v>
      </c>
      <c r="E344">
        <v>24</v>
      </c>
      <c r="F344" t="s">
        <v>31</v>
      </c>
      <c r="G344" t="s">
        <v>27</v>
      </c>
      <c r="H344" t="s">
        <v>54</v>
      </c>
      <c r="I344" s="1">
        <v>45239</v>
      </c>
      <c r="J344" s="1">
        <v>45242</v>
      </c>
      <c r="L344">
        <v>4</v>
      </c>
      <c r="M344">
        <v>10</v>
      </c>
      <c r="N344" t="s">
        <v>45</v>
      </c>
      <c r="O344">
        <v>773369</v>
      </c>
      <c r="U344">
        <f>Table1[[#This Row],[Interview_Date]]-Table1[[#This Row],[Application_Date]]</f>
        <v>3</v>
      </c>
      <c r="V344" t="str">
        <f>IF(OR(Table1[[#This Row],[Offer_Date]]="",Table1[[#This Row],[Interview_Date]]=""),"",Table1[[#This Row],[Offer_Date]]-Table1[[#This Row],[Interview_Date]])</f>
        <v/>
      </c>
    </row>
    <row r="345" spans="1:22" x14ac:dyDescent="0.3">
      <c r="A345" t="s">
        <v>400</v>
      </c>
      <c r="B345" t="s">
        <v>65</v>
      </c>
      <c r="C345" t="s">
        <v>50</v>
      </c>
      <c r="D345" t="s">
        <v>18</v>
      </c>
      <c r="E345">
        <v>35</v>
      </c>
      <c r="F345" t="s">
        <v>19</v>
      </c>
      <c r="G345" t="s">
        <v>44</v>
      </c>
      <c r="H345" t="s">
        <v>40</v>
      </c>
      <c r="I345" s="1">
        <v>45258</v>
      </c>
      <c r="J345" s="1">
        <v>45264</v>
      </c>
      <c r="K345" s="1">
        <v>45266</v>
      </c>
      <c r="L345">
        <v>2</v>
      </c>
      <c r="M345">
        <v>7</v>
      </c>
      <c r="N345" t="s">
        <v>48</v>
      </c>
      <c r="O345">
        <v>397168</v>
      </c>
      <c r="U345">
        <f>Table1[[#This Row],[Interview_Date]]-Table1[[#This Row],[Application_Date]]</f>
        <v>6</v>
      </c>
      <c r="V345">
        <f>IF(OR(Table1[[#This Row],[Offer_Date]]="",Table1[[#This Row],[Interview_Date]]=""),"",Table1[[#This Row],[Offer_Date]]-Table1[[#This Row],[Interview_Date]])</f>
        <v>2</v>
      </c>
    </row>
    <row r="346" spans="1:22" x14ac:dyDescent="0.3">
      <c r="A346" t="s">
        <v>401</v>
      </c>
      <c r="B346" t="s">
        <v>42</v>
      </c>
      <c r="C346" t="s">
        <v>25</v>
      </c>
      <c r="D346" t="s">
        <v>26</v>
      </c>
      <c r="E346">
        <v>30</v>
      </c>
      <c r="F346" t="s">
        <v>34</v>
      </c>
      <c r="G346" t="s">
        <v>20</v>
      </c>
      <c r="H346" t="s">
        <v>40</v>
      </c>
      <c r="I346" s="1">
        <v>44835</v>
      </c>
      <c r="J346" s="1">
        <v>44849</v>
      </c>
      <c r="L346">
        <v>1</v>
      </c>
      <c r="M346">
        <v>10</v>
      </c>
      <c r="N346" t="s">
        <v>22</v>
      </c>
      <c r="O346">
        <v>559086</v>
      </c>
      <c r="U346">
        <f>Table1[[#This Row],[Interview_Date]]-Table1[[#This Row],[Application_Date]]</f>
        <v>14</v>
      </c>
      <c r="V346" t="str">
        <f>IF(OR(Table1[[#This Row],[Offer_Date]]="",Table1[[#This Row],[Interview_Date]]=""),"",Table1[[#This Row],[Offer_Date]]-Table1[[#This Row],[Interview_Date]])</f>
        <v/>
      </c>
    </row>
    <row r="347" spans="1:22" x14ac:dyDescent="0.3">
      <c r="A347" t="s">
        <v>402</v>
      </c>
      <c r="B347" t="s">
        <v>65</v>
      </c>
      <c r="C347" t="s">
        <v>66</v>
      </c>
      <c r="D347" t="s">
        <v>18</v>
      </c>
      <c r="E347">
        <v>44</v>
      </c>
      <c r="F347" t="s">
        <v>39</v>
      </c>
      <c r="G347" t="s">
        <v>60</v>
      </c>
      <c r="H347" t="s">
        <v>36</v>
      </c>
      <c r="I347" s="1">
        <v>44614</v>
      </c>
      <c r="J347" s="1">
        <v>44622</v>
      </c>
      <c r="K347" s="1">
        <v>44629</v>
      </c>
      <c r="L347">
        <v>3</v>
      </c>
      <c r="M347">
        <v>4</v>
      </c>
      <c r="N347" t="s">
        <v>22</v>
      </c>
      <c r="O347">
        <v>1172005</v>
      </c>
      <c r="U347">
        <f>Table1[[#This Row],[Interview_Date]]-Table1[[#This Row],[Application_Date]]</f>
        <v>8</v>
      </c>
      <c r="V347">
        <f>IF(OR(Table1[[#This Row],[Offer_Date]]="",Table1[[#This Row],[Interview_Date]]=""),"",Table1[[#This Row],[Offer_Date]]-Table1[[#This Row],[Interview_Date]])</f>
        <v>7</v>
      </c>
    </row>
    <row r="348" spans="1:22" x14ac:dyDescent="0.3">
      <c r="A348" t="s">
        <v>403</v>
      </c>
      <c r="B348" t="s">
        <v>33</v>
      </c>
      <c r="C348" t="s">
        <v>53</v>
      </c>
      <c r="D348" t="s">
        <v>18</v>
      </c>
      <c r="E348">
        <v>33</v>
      </c>
      <c r="F348" t="s">
        <v>56</v>
      </c>
      <c r="G348" t="s">
        <v>35</v>
      </c>
      <c r="H348" t="s">
        <v>40</v>
      </c>
      <c r="I348" s="1">
        <v>44681</v>
      </c>
      <c r="J348" s="1">
        <v>44691</v>
      </c>
      <c r="K348" s="1">
        <v>44698</v>
      </c>
      <c r="L348">
        <v>1</v>
      </c>
      <c r="M348">
        <v>5</v>
      </c>
      <c r="N348" t="s">
        <v>28</v>
      </c>
      <c r="O348">
        <v>754517</v>
      </c>
      <c r="U348">
        <f>Table1[[#This Row],[Interview_Date]]-Table1[[#This Row],[Application_Date]]</f>
        <v>10</v>
      </c>
      <c r="V348">
        <f>IF(OR(Table1[[#This Row],[Offer_Date]]="",Table1[[#This Row],[Interview_Date]]=""),"",Table1[[#This Row],[Offer_Date]]-Table1[[#This Row],[Interview_Date]])</f>
        <v>7</v>
      </c>
    </row>
    <row r="349" spans="1:22" x14ac:dyDescent="0.3">
      <c r="A349" t="s">
        <v>404</v>
      </c>
      <c r="B349" t="s">
        <v>33</v>
      </c>
      <c r="C349" t="s">
        <v>43</v>
      </c>
      <c r="D349" t="s">
        <v>26</v>
      </c>
      <c r="E349">
        <v>40</v>
      </c>
      <c r="F349" t="s">
        <v>19</v>
      </c>
      <c r="G349" t="s">
        <v>60</v>
      </c>
      <c r="H349" t="s">
        <v>40</v>
      </c>
      <c r="I349" s="1">
        <v>44947</v>
      </c>
      <c r="J349" s="1">
        <v>44959</v>
      </c>
      <c r="K349" s="1">
        <v>44965</v>
      </c>
      <c r="L349">
        <v>1</v>
      </c>
      <c r="M349">
        <v>2</v>
      </c>
      <c r="N349" t="s">
        <v>28</v>
      </c>
      <c r="O349">
        <v>1040434</v>
      </c>
      <c r="U349">
        <f>Table1[[#This Row],[Interview_Date]]-Table1[[#This Row],[Application_Date]]</f>
        <v>12</v>
      </c>
      <c r="V349">
        <f>IF(OR(Table1[[#This Row],[Offer_Date]]="",Table1[[#This Row],[Interview_Date]]=""),"",Table1[[#This Row],[Offer_Date]]-Table1[[#This Row],[Interview_Date]])</f>
        <v>6</v>
      </c>
    </row>
    <row r="350" spans="1:22" x14ac:dyDescent="0.3">
      <c r="A350" t="s">
        <v>405</v>
      </c>
      <c r="B350" t="s">
        <v>47</v>
      </c>
      <c r="C350" t="s">
        <v>94</v>
      </c>
      <c r="D350" t="s">
        <v>26</v>
      </c>
      <c r="E350">
        <v>40</v>
      </c>
      <c r="F350" t="s">
        <v>74</v>
      </c>
      <c r="G350" t="s">
        <v>20</v>
      </c>
      <c r="H350" t="s">
        <v>54</v>
      </c>
      <c r="I350" s="1">
        <v>45080</v>
      </c>
      <c r="J350" s="1">
        <v>45090</v>
      </c>
      <c r="L350">
        <v>3</v>
      </c>
      <c r="M350">
        <v>2</v>
      </c>
      <c r="N350" t="s">
        <v>22</v>
      </c>
      <c r="O350">
        <v>513775</v>
      </c>
      <c r="U350">
        <f>Table1[[#This Row],[Interview_Date]]-Table1[[#This Row],[Application_Date]]</f>
        <v>10</v>
      </c>
      <c r="V350" t="str">
        <f>IF(OR(Table1[[#This Row],[Offer_Date]]="",Table1[[#This Row],[Interview_Date]]=""),"",Table1[[#This Row],[Offer_Date]]-Table1[[#This Row],[Interview_Date]])</f>
        <v/>
      </c>
    </row>
    <row r="351" spans="1:22" x14ac:dyDescent="0.3">
      <c r="A351" t="s">
        <v>406</v>
      </c>
      <c r="B351" t="s">
        <v>65</v>
      </c>
      <c r="C351" t="s">
        <v>43</v>
      </c>
      <c r="D351" t="s">
        <v>18</v>
      </c>
      <c r="E351">
        <v>38</v>
      </c>
      <c r="F351" t="s">
        <v>34</v>
      </c>
      <c r="G351" t="s">
        <v>60</v>
      </c>
      <c r="H351" t="s">
        <v>21</v>
      </c>
      <c r="I351" s="1">
        <v>44536</v>
      </c>
      <c r="J351" s="1">
        <v>44542</v>
      </c>
      <c r="K351" s="1">
        <v>44548</v>
      </c>
      <c r="L351">
        <v>3</v>
      </c>
      <c r="M351">
        <v>8</v>
      </c>
      <c r="N351" t="s">
        <v>22</v>
      </c>
      <c r="O351">
        <v>561498</v>
      </c>
      <c r="U351">
        <f>Table1[[#This Row],[Interview_Date]]-Table1[[#This Row],[Application_Date]]</f>
        <v>6</v>
      </c>
      <c r="V351">
        <f>IF(OR(Table1[[#This Row],[Offer_Date]]="",Table1[[#This Row],[Interview_Date]]=""),"",Table1[[#This Row],[Offer_Date]]-Table1[[#This Row],[Interview_Date]])</f>
        <v>6</v>
      </c>
    </row>
    <row r="352" spans="1:22" x14ac:dyDescent="0.3">
      <c r="A352" t="s">
        <v>407</v>
      </c>
      <c r="B352" t="s">
        <v>38</v>
      </c>
      <c r="C352" t="s">
        <v>59</v>
      </c>
      <c r="D352" t="s">
        <v>18</v>
      </c>
      <c r="E352">
        <v>33</v>
      </c>
      <c r="F352" t="s">
        <v>74</v>
      </c>
      <c r="G352" t="s">
        <v>27</v>
      </c>
      <c r="H352" t="s">
        <v>36</v>
      </c>
      <c r="I352" s="1">
        <v>44296</v>
      </c>
      <c r="J352" s="1">
        <v>44300</v>
      </c>
      <c r="L352">
        <v>3</v>
      </c>
      <c r="M352">
        <v>9</v>
      </c>
      <c r="N352" t="s">
        <v>45</v>
      </c>
      <c r="O352">
        <v>880026</v>
      </c>
      <c r="U352">
        <f>Table1[[#This Row],[Interview_Date]]-Table1[[#This Row],[Application_Date]]</f>
        <v>4</v>
      </c>
      <c r="V352" t="str">
        <f>IF(OR(Table1[[#This Row],[Offer_Date]]="",Table1[[#This Row],[Interview_Date]]=""),"",Table1[[#This Row],[Offer_Date]]-Table1[[#This Row],[Interview_Date]])</f>
        <v/>
      </c>
    </row>
    <row r="353" spans="1:22" x14ac:dyDescent="0.3">
      <c r="A353" t="s">
        <v>408</v>
      </c>
      <c r="B353" t="s">
        <v>65</v>
      </c>
      <c r="C353" t="s">
        <v>30</v>
      </c>
      <c r="D353" t="s">
        <v>18</v>
      </c>
      <c r="E353">
        <v>30</v>
      </c>
      <c r="F353" t="s">
        <v>31</v>
      </c>
      <c r="G353" t="s">
        <v>35</v>
      </c>
      <c r="H353" t="s">
        <v>51</v>
      </c>
      <c r="I353" s="1">
        <v>45362</v>
      </c>
      <c r="J353" s="1">
        <v>45366</v>
      </c>
      <c r="K353" s="1">
        <v>45369</v>
      </c>
      <c r="L353">
        <v>3</v>
      </c>
      <c r="M353">
        <v>2</v>
      </c>
      <c r="N353" t="s">
        <v>22</v>
      </c>
      <c r="O353">
        <v>1187571</v>
      </c>
      <c r="U353">
        <f>Table1[[#This Row],[Interview_Date]]-Table1[[#This Row],[Application_Date]]</f>
        <v>4</v>
      </c>
      <c r="V353">
        <f>IF(OR(Table1[[#This Row],[Offer_Date]]="",Table1[[#This Row],[Interview_Date]]=""),"",Table1[[#This Row],[Offer_Date]]-Table1[[#This Row],[Interview_Date]])</f>
        <v>3</v>
      </c>
    </row>
    <row r="354" spans="1:22" x14ac:dyDescent="0.3">
      <c r="A354" t="s">
        <v>409</v>
      </c>
      <c r="B354" t="s">
        <v>58</v>
      </c>
      <c r="C354" t="s">
        <v>30</v>
      </c>
      <c r="D354" t="s">
        <v>18</v>
      </c>
      <c r="E354">
        <v>21</v>
      </c>
      <c r="F354" t="s">
        <v>39</v>
      </c>
      <c r="G354" t="s">
        <v>20</v>
      </c>
      <c r="H354" t="s">
        <v>36</v>
      </c>
      <c r="I354" s="1">
        <v>45111</v>
      </c>
      <c r="J354" s="1">
        <v>45120</v>
      </c>
      <c r="K354" s="1">
        <v>45127</v>
      </c>
      <c r="L354">
        <v>4</v>
      </c>
      <c r="M354">
        <v>4</v>
      </c>
      <c r="N354" t="s">
        <v>45</v>
      </c>
      <c r="O354">
        <v>574311</v>
      </c>
      <c r="U354">
        <f>Table1[[#This Row],[Interview_Date]]-Table1[[#This Row],[Application_Date]]</f>
        <v>9</v>
      </c>
      <c r="V354">
        <f>IF(OR(Table1[[#This Row],[Offer_Date]]="",Table1[[#This Row],[Interview_Date]]=""),"",Table1[[#This Row],[Offer_Date]]-Table1[[#This Row],[Interview_Date]])</f>
        <v>7</v>
      </c>
    </row>
    <row r="355" spans="1:22" x14ac:dyDescent="0.3">
      <c r="A355" t="s">
        <v>410</v>
      </c>
      <c r="B355" t="s">
        <v>38</v>
      </c>
      <c r="C355" t="s">
        <v>43</v>
      </c>
      <c r="D355" t="s">
        <v>26</v>
      </c>
      <c r="E355">
        <v>36</v>
      </c>
      <c r="F355" t="s">
        <v>39</v>
      </c>
      <c r="G355" t="s">
        <v>20</v>
      </c>
      <c r="H355" t="s">
        <v>40</v>
      </c>
      <c r="I355" s="1">
        <v>45033</v>
      </c>
      <c r="J355" s="1">
        <v>45047</v>
      </c>
      <c r="L355">
        <v>4</v>
      </c>
      <c r="M355">
        <v>4</v>
      </c>
      <c r="N355" t="s">
        <v>22</v>
      </c>
      <c r="O355">
        <v>770247</v>
      </c>
      <c r="U355">
        <f>Table1[[#This Row],[Interview_Date]]-Table1[[#This Row],[Application_Date]]</f>
        <v>14</v>
      </c>
      <c r="V355" t="str">
        <f>IF(OR(Table1[[#This Row],[Offer_Date]]="",Table1[[#This Row],[Interview_Date]]=""),"",Table1[[#This Row],[Offer_Date]]-Table1[[#This Row],[Interview_Date]])</f>
        <v/>
      </c>
    </row>
    <row r="356" spans="1:22" x14ac:dyDescent="0.3">
      <c r="A356" t="s">
        <v>411</v>
      </c>
      <c r="B356" t="s">
        <v>24</v>
      </c>
      <c r="C356" t="s">
        <v>94</v>
      </c>
      <c r="D356" t="s">
        <v>26</v>
      </c>
      <c r="E356">
        <v>27</v>
      </c>
      <c r="F356" t="s">
        <v>19</v>
      </c>
      <c r="G356" t="s">
        <v>27</v>
      </c>
      <c r="H356" t="s">
        <v>54</v>
      </c>
      <c r="I356" s="1">
        <v>45154</v>
      </c>
      <c r="J356" s="1">
        <v>45158</v>
      </c>
      <c r="L356">
        <v>5</v>
      </c>
      <c r="M356">
        <v>3</v>
      </c>
      <c r="N356" t="s">
        <v>22</v>
      </c>
      <c r="O356">
        <v>1162187</v>
      </c>
      <c r="U356">
        <f>Table1[[#This Row],[Interview_Date]]-Table1[[#This Row],[Application_Date]]</f>
        <v>4</v>
      </c>
      <c r="V356" t="str">
        <f>IF(OR(Table1[[#This Row],[Offer_Date]]="",Table1[[#This Row],[Interview_Date]]=""),"",Table1[[#This Row],[Offer_Date]]-Table1[[#This Row],[Interview_Date]])</f>
        <v/>
      </c>
    </row>
    <row r="357" spans="1:22" x14ac:dyDescent="0.3">
      <c r="A357" t="s">
        <v>412</v>
      </c>
      <c r="B357" t="s">
        <v>63</v>
      </c>
      <c r="C357" t="s">
        <v>66</v>
      </c>
      <c r="D357" t="s">
        <v>18</v>
      </c>
      <c r="E357">
        <v>30</v>
      </c>
      <c r="F357" t="s">
        <v>34</v>
      </c>
      <c r="G357" t="s">
        <v>60</v>
      </c>
      <c r="H357" t="s">
        <v>36</v>
      </c>
      <c r="I357" s="1">
        <v>45009</v>
      </c>
      <c r="J357" s="1">
        <v>45013</v>
      </c>
      <c r="L357">
        <v>1</v>
      </c>
      <c r="M357">
        <v>5</v>
      </c>
      <c r="N357" t="s">
        <v>28</v>
      </c>
      <c r="O357">
        <v>896846</v>
      </c>
      <c r="U357">
        <f>Table1[[#This Row],[Interview_Date]]-Table1[[#This Row],[Application_Date]]</f>
        <v>4</v>
      </c>
      <c r="V357" t="str">
        <f>IF(OR(Table1[[#This Row],[Offer_Date]]="",Table1[[#This Row],[Interview_Date]]=""),"",Table1[[#This Row],[Offer_Date]]-Table1[[#This Row],[Interview_Date]])</f>
        <v/>
      </c>
    </row>
    <row r="358" spans="1:22" x14ac:dyDescent="0.3">
      <c r="A358" t="s">
        <v>413</v>
      </c>
      <c r="B358" t="s">
        <v>58</v>
      </c>
      <c r="C358" t="s">
        <v>66</v>
      </c>
      <c r="D358" t="s">
        <v>26</v>
      </c>
      <c r="E358">
        <v>33</v>
      </c>
      <c r="F358" t="s">
        <v>19</v>
      </c>
      <c r="G358" t="s">
        <v>35</v>
      </c>
      <c r="H358" t="s">
        <v>54</v>
      </c>
      <c r="I358" s="1">
        <v>45120</v>
      </c>
      <c r="J358" s="1">
        <v>45131</v>
      </c>
      <c r="K358" s="1">
        <v>45137</v>
      </c>
      <c r="L358">
        <v>5</v>
      </c>
      <c r="M358">
        <v>8</v>
      </c>
      <c r="N358" t="s">
        <v>28</v>
      </c>
      <c r="O358">
        <v>540316</v>
      </c>
      <c r="U358">
        <f>Table1[[#This Row],[Interview_Date]]-Table1[[#This Row],[Application_Date]]</f>
        <v>11</v>
      </c>
      <c r="V358">
        <f>IF(OR(Table1[[#This Row],[Offer_Date]]="",Table1[[#This Row],[Interview_Date]]=""),"",Table1[[#This Row],[Offer_Date]]-Table1[[#This Row],[Interview_Date]])</f>
        <v>6</v>
      </c>
    </row>
    <row r="359" spans="1:22" x14ac:dyDescent="0.3">
      <c r="A359" t="s">
        <v>414</v>
      </c>
      <c r="B359" t="s">
        <v>24</v>
      </c>
      <c r="C359" t="s">
        <v>30</v>
      </c>
      <c r="D359" t="s">
        <v>18</v>
      </c>
      <c r="E359">
        <v>38</v>
      </c>
      <c r="F359" t="s">
        <v>39</v>
      </c>
      <c r="G359" t="s">
        <v>35</v>
      </c>
      <c r="H359" t="s">
        <v>36</v>
      </c>
      <c r="I359" s="1">
        <v>44424</v>
      </c>
      <c r="J359" s="1">
        <v>44437</v>
      </c>
      <c r="L359">
        <v>5</v>
      </c>
      <c r="M359">
        <v>4</v>
      </c>
      <c r="N359" t="s">
        <v>28</v>
      </c>
      <c r="O359">
        <v>883407</v>
      </c>
      <c r="U359">
        <f>Table1[[#This Row],[Interview_Date]]-Table1[[#This Row],[Application_Date]]</f>
        <v>13</v>
      </c>
      <c r="V359" t="str">
        <f>IF(OR(Table1[[#This Row],[Offer_Date]]="",Table1[[#This Row],[Interview_Date]]=""),"",Table1[[#This Row],[Offer_Date]]-Table1[[#This Row],[Interview_Date]])</f>
        <v/>
      </c>
    </row>
    <row r="360" spans="1:22" x14ac:dyDescent="0.3">
      <c r="A360" t="s">
        <v>415</v>
      </c>
      <c r="B360" t="s">
        <v>16</v>
      </c>
      <c r="C360" t="s">
        <v>69</v>
      </c>
      <c r="D360" t="s">
        <v>18</v>
      </c>
      <c r="E360">
        <v>21</v>
      </c>
      <c r="F360" t="s">
        <v>56</v>
      </c>
      <c r="G360" t="s">
        <v>60</v>
      </c>
      <c r="H360" t="s">
        <v>40</v>
      </c>
      <c r="I360" s="1">
        <v>44970</v>
      </c>
      <c r="J360" s="1">
        <v>44979</v>
      </c>
      <c r="K360" s="1">
        <v>44985</v>
      </c>
      <c r="L360">
        <v>4</v>
      </c>
      <c r="M360">
        <v>3</v>
      </c>
      <c r="N360" t="s">
        <v>28</v>
      </c>
      <c r="O360">
        <v>310465</v>
      </c>
      <c r="U360">
        <f>Table1[[#This Row],[Interview_Date]]-Table1[[#This Row],[Application_Date]]</f>
        <v>9</v>
      </c>
      <c r="V360">
        <f>IF(OR(Table1[[#This Row],[Offer_Date]]="",Table1[[#This Row],[Interview_Date]]=""),"",Table1[[#This Row],[Offer_Date]]-Table1[[#This Row],[Interview_Date]])</f>
        <v>6</v>
      </c>
    </row>
    <row r="361" spans="1:22" x14ac:dyDescent="0.3">
      <c r="A361" t="s">
        <v>416</v>
      </c>
      <c r="B361" t="s">
        <v>42</v>
      </c>
      <c r="C361" t="s">
        <v>94</v>
      </c>
      <c r="D361" t="s">
        <v>26</v>
      </c>
      <c r="E361">
        <v>30</v>
      </c>
      <c r="F361" t="s">
        <v>74</v>
      </c>
      <c r="G361" t="s">
        <v>44</v>
      </c>
      <c r="H361" t="s">
        <v>51</v>
      </c>
      <c r="I361" s="1">
        <v>44827</v>
      </c>
      <c r="J361" s="1">
        <v>44836</v>
      </c>
      <c r="L361">
        <v>3</v>
      </c>
      <c r="M361">
        <v>9</v>
      </c>
      <c r="N361" t="s">
        <v>22</v>
      </c>
      <c r="O361">
        <v>307878</v>
      </c>
      <c r="U361">
        <f>Table1[[#This Row],[Interview_Date]]-Table1[[#This Row],[Application_Date]]</f>
        <v>9</v>
      </c>
      <c r="V361" t="str">
        <f>IF(OR(Table1[[#This Row],[Offer_Date]]="",Table1[[#This Row],[Interview_Date]]=""),"",Table1[[#This Row],[Offer_Date]]-Table1[[#This Row],[Interview_Date]])</f>
        <v/>
      </c>
    </row>
    <row r="362" spans="1:22" x14ac:dyDescent="0.3">
      <c r="A362" t="s">
        <v>417</v>
      </c>
      <c r="B362" t="s">
        <v>24</v>
      </c>
      <c r="C362" t="s">
        <v>50</v>
      </c>
      <c r="D362" t="s">
        <v>18</v>
      </c>
      <c r="E362">
        <v>45</v>
      </c>
      <c r="F362" t="s">
        <v>74</v>
      </c>
      <c r="G362" t="s">
        <v>27</v>
      </c>
      <c r="H362" t="s">
        <v>40</v>
      </c>
      <c r="I362" s="1">
        <v>44665</v>
      </c>
      <c r="J362" s="1">
        <v>44676</v>
      </c>
      <c r="L362">
        <v>5</v>
      </c>
      <c r="M362">
        <v>7</v>
      </c>
      <c r="N362" t="s">
        <v>28</v>
      </c>
      <c r="O362">
        <v>921502</v>
      </c>
      <c r="U362">
        <f>Table1[[#This Row],[Interview_Date]]-Table1[[#This Row],[Application_Date]]</f>
        <v>11</v>
      </c>
      <c r="V362" t="str">
        <f>IF(OR(Table1[[#This Row],[Offer_Date]]="",Table1[[#This Row],[Interview_Date]]=""),"",Table1[[#This Row],[Offer_Date]]-Table1[[#This Row],[Interview_Date]])</f>
        <v/>
      </c>
    </row>
    <row r="363" spans="1:22" x14ac:dyDescent="0.3">
      <c r="A363" t="s">
        <v>418</v>
      </c>
      <c r="B363" t="s">
        <v>65</v>
      </c>
      <c r="C363" t="s">
        <v>25</v>
      </c>
      <c r="D363" t="s">
        <v>18</v>
      </c>
      <c r="E363">
        <v>25</v>
      </c>
      <c r="F363" t="s">
        <v>39</v>
      </c>
      <c r="G363" t="s">
        <v>44</v>
      </c>
      <c r="H363" t="s">
        <v>21</v>
      </c>
      <c r="I363" s="1">
        <v>44869</v>
      </c>
      <c r="J363" s="1">
        <v>44878</v>
      </c>
      <c r="L363">
        <v>4</v>
      </c>
      <c r="M363">
        <v>4</v>
      </c>
      <c r="N363" t="s">
        <v>45</v>
      </c>
      <c r="O363">
        <v>783168</v>
      </c>
      <c r="U363">
        <f>Table1[[#This Row],[Interview_Date]]-Table1[[#This Row],[Application_Date]]</f>
        <v>9</v>
      </c>
      <c r="V363" t="str">
        <f>IF(OR(Table1[[#This Row],[Offer_Date]]="",Table1[[#This Row],[Interview_Date]]=""),"",Table1[[#This Row],[Offer_Date]]-Table1[[#This Row],[Interview_Date]])</f>
        <v/>
      </c>
    </row>
    <row r="364" spans="1:22" x14ac:dyDescent="0.3">
      <c r="A364" t="s">
        <v>419</v>
      </c>
      <c r="B364" t="s">
        <v>72</v>
      </c>
      <c r="C364" t="s">
        <v>43</v>
      </c>
      <c r="D364" t="s">
        <v>26</v>
      </c>
      <c r="E364">
        <v>21</v>
      </c>
      <c r="F364" t="s">
        <v>56</v>
      </c>
      <c r="G364" t="s">
        <v>35</v>
      </c>
      <c r="H364" t="s">
        <v>40</v>
      </c>
      <c r="I364" s="1">
        <v>45390</v>
      </c>
      <c r="J364" s="1">
        <v>45400</v>
      </c>
      <c r="K364" s="1">
        <v>45403</v>
      </c>
      <c r="L364">
        <v>4</v>
      </c>
      <c r="M364">
        <v>2</v>
      </c>
      <c r="N364" t="s">
        <v>48</v>
      </c>
      <c r="O364">
        <v>996345</v>
      </c>
      <c r="U364">
        <f>Table1[[#This Row],[Interview_Date]]-Table1[[#This Row],[Application_Date]]</f>
        <v>10</v>
      </c>
      <c r="V364">
        <f>IF(OR(Table1[[#This Row],[Offer_Date]]="",Table1[[#This Row],[Interview_Date]]=""),"",Table1[[#This Row],[Offer_Date]]-Table1[[#This Row],[Interview_Date]])</f>
        <v>3</v>
      </c>
    </row>
    <row r="365" spans="1:22" x14ac:dyDescent="0.3">
      <c r="A365" t="s">
        <v>420</v>
      </c>
      <c r="B365" t="s">
        <v>72</v>
      </c>
      <c r="C365" t="s">
        <v>25</v>
      </c>
      <c r="D365" t="s">
        <v>18</v>
      </c>
      <c r="E365">
        <v>43</v>
      </c>
      <c r="F365" t="s">
        <v>34</v>
      </c>
      <c r="G365" t="s">
        <v>27</v>
      </c>
      <c r="H365" t="s">
        <v>51</v>
      </c>
      <c r="I365" s="1">
        <v>45192</v>
      </c>
      <c r="J365" s="1">
        <v>45205</v>
      </c>
      <c r="K365" s="1">
        <v>45207</v>
      </c>
      <c r="L365">
        <v>3</v>
      </c>
      <c r="M365">
        <v>8</v>
      </c>
      <c r="N365" t="s">
        <v>45</v>
      </c>
      <c r="O365">
        <v>959029</v>
      </c>
      <c r="U365">
        <f>Table1[[#This Row],[Interview_Date]]-Table1[[#This Row],[Application_Date]]</f>
        <v>13</v>
      </c>
      <c r="V365">
        <f>IF(OR(Table1[[#This Row],[Offer_Date]]="",Table1[[#This Row],[Interview_Date]]=""),"",Table1[[#This Row],[Offer_Date]]-Table1[[#This Row],[Interview_Date]])</f>
        <v>2</v>
      </c>
    </row>
    <row r="366" spans="1:22" x14ac:dyDescent="0.3">
      <c r="A366" t="s">
        <v>421</v>
      </c>
      <c r="B366" t="s">
        <v>63</v>
      </c>
      <c r="C366" t="s">
        <v>25</v>
      </c>
      <c r="D366" t="s">
        <v>18</v>
      </c>
      <c r="E366">
        <v>42</v>
      </c>
      <c r="F366" t="s">
        <v>34</v>
      </c>
      <c r="G366" t="s">
        <v>44</v>
      </c>
      <c r="H366" t="s">
        <v>40</v>
      </c>
      <c r="I366" s="1">
        <v>45070</v>
      </c>
      <c r="J366" s="1">
        <v>45083</v>
      </c>
      <c r="L366">
        <v>4</v>
      </c>
      <c r="M366">
        <v>6</v>
      </c>
      <c r="N366" t="s">
        <v>48</v>
      </c>
      <c r="O366">
        <v>1070707</v>
      </c>
      <c r="U366">
        <f>Table1[[#This Row],[Interview_Date]]-Table1[[#This Row],[Application_Date]]</f>
        <v>13</v>
      </c>
      <c r="V366" t="str">
        <f>IF(OR(Table1[[#This Row],[Offer_Date]]="",Table1[[#This Row],[Interview_Date]]=""),"",Table1[[#This Row],[Offer_Date]]-Table1[[#This Row],[Interview_Date]])</f>
        <v/>
      </c>
    </row>
    <row r="367" spans="1:22" x14ac:dyDescent="0.3">
      <c r="A367" t="s">
        <v>422</v>
      </c>
      <c r="B367" t="s">
        <v>58</v>
      </c>
      <c r="C367" t="s">
        <v>69</v>
      </c>
      <c r="D367" t="s">
        <v>18</v>
      </c>
      <c r="E367">
        <v>27</v>
      </c>
      <c r="F367" t="s">
        <v>19</v>
      </c>
      <c r="G367" t="s">
        <v>20</v>
      </c>
      <c r="H367" t="s">
        <v>36</v>
      </c>
      <c r="I367" s="1">
        <v>44744</v>
      </c>
      <c r="J367" s="1">
        <v>44754</v>
      </c>
      <c r="L367">
        <v>4</v>
      </c>
      <c r="M367">
        <v>9</v>
      </c>
      <c r="N367" t="s">
        <v>22</v>
      </c>
      <c r="O367">
        <v>1032522</v>
      </c>
      <c r="U367">
        <f>Table1[[#This Row],[Interview_Date]]-Table1[[#This Row],[Application_Date]]</f>
        <v>10</v>
      </c>
      <c r="V367" t="str">
        <f>IF(OR(Table1[[#This Row],[Offer_Date]]="",Table1[[#This Row],[Interview_Date]]=""),"",Table1[[#This Row],[Offer_Date]]-Table1[[#This Row],[Interview_Date]])</f>
        <v/>
      </c>
    </row>
    <row r="368" spans="1:22" x14ac:dyDescent="0.3">
      <c r="A368" t="s">
        <v>423</v>
      </c>
      <c r="B368" t="s">
        <v>47</v>
      </c>
      <c r="C368" t="s">
        <v>17</v>
      </c>
      <c r="D368" t="s">
        <v>18</v>
      </c>
      <c r="E368">
        <v>41</v>
      </c>
      <c r="F368" t="s">
        <v>34</v>
      </c>
      <c r="G368" t="s">
        <v>44</v>
      </c>
      <c r="H368" t="s">
        <v>54</v>
      </c>
      <c r="I368" s="1">
        <v>45204</v>
      </c>
      <c r="J368" s="1">
        <v>45216</v>
      </c>
      <c r="L368">
        <v>1</v>
      </c>
      <c r="M368">
        <v>4</v>
      </c>
      <c r="N368" t="s">
        <v>22</v>
      </c>
      <c r="O368">
        <v>482101</v>
      </c>
      <c r="U368">
        <f>Table1[[#This Row],[Interview_Date]]-Table1[[#This Row],[Application_Date]]</f>
        <v>12</v>
      </c>
      <c r="V368" t="str">
        <f>IF(OR(Table1[[#This Row],[Offer_Date]]="",Table1[[#This Row],[Interview_Date]]=""),"",Table1[[#This Row],[Offer_Date]]-Table1[[#This Row],[Interview_Date]])</f>
        <v/>
      </c>
    </row>
    <row r="369" spans="1:22" x14ac:dyDescent="0.3">
      <c r="A369" t="s">
        <v>424</v>
      </c>
      <c r="B369" t="s">
        <v>63</v>
      </c>
      <c r="C369" t="s">
        <v>43</v>
      </c>
      <c r="D369" t="s">
        <v>26</v>
      </c>
      <c r="E369">
        <v>40</v>
      </c>
      <c r="F369" t="s">
        <v>19</v>
      </c>
      <c r="G369" t="s">
        <v>35</v>
      </c>
      <c r="H369" t="s">
        <v>51</v>
      </c>
      <c r="I369" s="1">
        <v>45137</v>
      </c>
      <c r="J369" s="1">
        <v>45140</v>
      </c>
      <c r="L369">
        <v>4</v>
      </c>
      <c r="M369">
        <v>4</v>
      </c>
      <c r="N369" t="s">
        <v>28</v>
      </c>
      <c r="O369">
        <v>306965</v>
      </c>
      <c r="U369">
        <f>Table1[[#This Row],[Interview_Date]]-Table1[[#This Row],[Application_Date]]</f>
        <v>3</v>
      </c>
      <c r="V369" t="str">
        <f>IF(OR(Table1[[#This Row],[Offer_Date]]="",Table1[[#This Row],[Interview_Date]]=""),"",Table1[[#This Row],[Offer_Date]]-Table1[[#This Row],[Interview_Date]])</f>
        <v/>
      </c>
    </row>
    <row r="370" spans="1:22" x14ac:dyDescent="0.3">
      <c r="A370" t="s">
        <v>425</v>
      </c>
      <c r="B370" t="s">
        <v>58</v>
      </c>
      <c r="C370" t="s">
        <v>43</v>
      </c>
      <c r="D370" t="s">
        <v>26</v>
      </c>
      <c r="E370">
        <v>41</v>
      </c>
      <c r="F370" t="s">
        <v>74</v>
      </c>
      <c r="G370" t="s">
        <v>60</v>
      </c>
      <c r="H370" t="s">
        <v>54</v>
      </c>
      <c r="I370" s="1">
        <v>44265</v>
      </c>
      <c r="J370" s="1">
        <v>44276</v>
      </c>
      <c r="L370">
        <v>2</v>
      </c>
      <c r="M370">
        <v>5</v>
      </c>
      <c r="N370" t="s">
        <v>45</v>
      </c>
      <c r="O370">
        <v>653296</v>
      </c>
      <c r="U370">
        <f>Table1[[#This Row],[Interview_Date]]-Table1[[#This Row],[Application_Date]]</f>
        <v>11</v>
      </c>
      <c r="V370" t="str">
        <f>IF(OR(Table1[[#This Row],[Offer_Date]]="",Table1[[#This Row],[Interview_Date]]=""),"",Table1[[#This Row],[Offer_Date]]-Table1[[#This Row],[Interview_Date]])</f>
        <v/>
      </c>
    </row>
    <row r="371" spans="1:22" x14ac:dyDescent="0.3">
      <c r="A371" t="s">
        <v>426</v>
      </c>
      <c r="B371" t="s">
        <v>63</v>
      </c>
      <c r="C371" t="s">
        <v>50</v>
      </c>
      <c r="D371" t="s">
        <v>18</v>
      </c>
      <c r="E371">
        <v>34</v>
      </c>
      <c r="F371" t="s">
        <v>34</v>
      </c>
      <c r="G371" t="s">
        <v>35</v>
      </c>
      <c r="H371" t="s">
        <v>51</v>
      </c>
      <c r="I371" s="1">
        <v>45116</v>
      </c>
      <c r="J371" s="1">
        <v>45126</v>
      </c>
      <c r="K371" s="1">
        <v>45132</v>
      </c>
      <c r="L371">
        <v>2</v>
      </c>
      <c r="M371">
        <v>9</v>
      </c>
      <c r="N371" t="s">
        <v>28</v>
      </c>
      <c r="O371">
        <v>484927</v>
      </c>
      <c r="U371">
        <f>Table1[[#This Row],[Interview_Date]]-Table1[[#This Row],[Application_Date]]</f>
        <v>10</v>
      </c>
      <c r="V371">
        <f>IF(OR(Table1[[#This Row],[Offer_Date]]="",Table1[[#This Row],[Interview_Date]]=""),"",Table1[[#This Row],[Offer_Date]]-Table1[[#This Row],[Interview_Date]])</f>
        <v>6</v>
      </c>
    </row>
    <row r="372" spans="1:22" x14ac:dyDescent="0.3">
      <c r="A372" t="s">
        <v>427</v>
      </c>
      <c r="B372" t="s">
        <v>58</v>
      </c>
      <c r="C372" t="s">
        <v>30</v>
      </c>
      <c r="D372" t="s">
        <v>26</v>
      </c>
      <c r="E372">
        <v>23</v>
      </c>
      <c r="F372" t="s">
        <v>34</v>
      </c>
      <c r="G372" t="s">
        <v>35</v>
      </c>
      <c r="H372" t="s">
        <v>54</v>
      </c>
      <c r="I372" s="1">
        <v>45309</v>
      </c>
      <c r="J372" s="1">
        <v>45321</v>
      </c>
      <c r="L372">
        <v>5</v>
      </c>
      <c r="M372">
        <v>4</v>
      </c>
      <c r="N372" t="s">
        <v>45</v>
      </c>
      <c r="O372">
        <v>758537</v>
      </c>
      <c r="U372">
        <f>Table1[[#This Row],[Interview_Date]]-Table1[[#This Row],[Application_Date]]</f>
        <v>12</v>
      </c>
      <c r="V372" t="str">
        <f>IF(OR(Table1[[#This Row],[Offer_Date]]="",Table1[[#This Row],[Interview_Date]]=""),"",Table1[[#This Row],[Offer_Date]]-Table1[[#This Row],[Interview_Date]])</f>
        <v/>
      </c>
    </row>
    <row r="373" spans="1:22" x14ac:dyDescent="0.3">
      <c r="A373" t="s">
        <v>428</v>
      </c>
      <c r="B373" t="s">
        <v>65</v>
      </c>
      <c r="C373" t="s">
        <v>43</v>
      </c>
      <c r="D373" t="s">
        <v>18</v>
      </c>
      <c r="E373">
        <v>28</v>
      </c>
      <c r="F373" t="s">
        <v>19</v>
      </c>
      <c r="G373" t="s">
        <v>44</v>
      </c>
      <c r="H373" t="s">
        <v>36</v>
      </c>
      <c r="I373" s="1">
        <v>44616</v>
      </c>
      <c r="J373" s="1">
        <v>44627</v>
      </c>
      <c r="L373">
        <v>2</v>
      </c>
      <c r="M373">
        <v>8</v>
      </c>
      <c r="N373" t="s">
        <v>28</v>
      </c>
      <c r="O373">
        <v>639159</v>
      </c>
      <c r="U373">
        <f>Table1[[#This Row],[Interview_Date]]-Table1[[#This Row],[Application_Date]]</f>
        <v>11</v>
      </c>
      <c r="V373" t="str">
        <f>IF(OR(Table1[[#This Row],[Offer_Date]]="",Table1[[#This Row],[Interview_Date]]=""),"",Table1[[#This Row],[Offer_Date]]-Table1[[#This Row],[Interview_Date]])</f>
        <v/>
      </c>
    </row>
    <row r="374" spans="1:22" x14ac:dyDescent="0.3">
      <c r="A374" t="s">
        <v>429</v>
      </c>
      <c r="B374" t="s">
        <v>47</v>
      </c>
      <c r="C374" t="s">
        <v>17</v>
      </c>
      <c r="D374" t="s">
        <v>18</v>
      </c>
      <c r="E374">
        <v>44</v>
      </c>
      <c r="F374" t="s">
        <v>39</v>
      </c>
      <c r="G374" t="s">
        <v>60</v>
      </c>
      <c r="H374" t="s">
        <v>21</v>
      </c>
      <c r="I374" s="1">
        <v>44737</v>
      </c>
      <c r="J374" s="1">
        <v>44751</v>
      </c>
      <c r="L374">
        <v>3</v>
      </c>
      <c r="M374">
        <v>10</v>
      </c>
      <c r="N374" t="s">
        <v>28</v>
      </c>
      <c r="O374">
        <v>354890</v>
      </c>
      <c r="U374">
        <f>Table1[[#This Row],[Interview_Date]]-Table1[[#This Row],[Application_Date]]</f>
        <v>14</v>
      </c>
      <c r="V374" t="str">
        <f>IF(OR(Table1[[#This Row],[Offer_Date]]="",Table1[[#This Row],[Interview_Date]]=""),"",Table1[[#This Row],[Offer_Date]]-Table1[[#This Row],[Interview_Date]])</f>
        <v/>
      </c>
    </row>
    <row r="375" spans="1:22" x14ac:dyDescent="0.3">
      <c r="A375" t="s">
        <v>430</v>
      </c>
      <c r="B375" t="s">
        <v>63</v>
      </c>
      <c r="C375" t="s">
        <v>69</v>
      </c>
      <c r="D375" t="s">
        <v>18</v>
      </c>
      <c r="E375">
        <v>36</v>
      </c>
      <c r="F375" t="s">
        <v>56</v>
      </c>
      <c r="G375" t="s">
        <v>27</v>
      </c>
      <c r="H375" t="s">
        <v>40</v>
      </c>
      <c r="I375" s="1">
        <v>44599</v>
      </c>
      <c r="J375" s="1">
        <v>44614</v>
      </c>
      <c r="K375" s="1">
        <v>44616</v>
      </c>
      <c r="L375">
        <v>5</v>
      </c>
      <c r="M375">
        <v>4</v>
      </c>
      <c r="N375" t="s">
        <v>45</v>
      </c>
      <c r="O375">
        <v>1185544</v>
      </c>
      <c r="U375">
        <f>Table1[[#This Row],[Interview_Date]]-Table1[[#This Row],[Application_Date]]</f>
        <v>15</v>
      </c>
      <c r="V375">
        <f>IF(OR(Table1[[#This Row],[Offer_Date]]="",Table1[[#This Row],[Interview_Date]]=""),"",Table1[[#This Row],[Offer_Date]]-Table1[[#This Row],[Interview_Date]])</f>
        <v>2</v>
      </c>
    </row>
    <row r="376" spans="1:22" x14ac:dyDescent="0.3">
      <c r="A376" t="s">
        <v>431</v>
      </c>
      <c r="B376" t="s">
        <v>24</v>
      </c>
      <c r="C376" t="s">
        <v>53</v>
      </c>
      <c r="D376" t="s">
        <v>26</v>
      </c>
      <c r="E376">
        <v>33</v>
      </c>
      <c r="F376" t="s">
        <v>19</v>
      </c>
      <c r="G376" t="s">
        <v>20</v>
      </c>
      <c r="H376" t="s">
        <v>51</v>
      </c>
      <c r="I376" s="1">
        <v>44683</v>
      </c>
      <c r="J376" s="1">
        <v>44698</v>
      </c>
      <c r="K376" s="1">
        <v>44700</v>
      </c>
      <c r="L376">
        <v>4</v>
      </c>
      <c r="M376">
        <v>9</v>
      </c>
      <c r="N376" t="s">
        <v>48</v>
      </c>
      <c r="O376">
        <v>943270</v>
      </c>
      <c r="U376">
        <f>Table1[[#This Row],[Interview_Date]]-Table1[[#This Row],[Application_Date]]</f>
        <v>15</v>
      </c>
      <c r="V376">
        <f>IF(OR(Table1[[#This Row],[Offer_Date]]="",Table1[[#This Row],[Interview_Date]]=""),"",Table1[[#This Row],[Offer_Date]]-Table1[[#This Row],[Interview_Date]])</f>
        <v>2</v>
      </c>
    </row>
    <row r="377" spans="1:22" x14ac:dyDescent="0.3">
      <c r="A377" t="s">
        <v>432</v>
      </c>
      <c r="B377" t="s">
        <v>16</v>
      </c>
      <c r="C377" t="s">
        <v>94</v>
      </c>
      <c r="D377" t="s">
        <v>26</v>
      </c>
      <c r="E377">
        <v>38</v>
      </c>
      <c r="F377" t="s">
        <v>31</v>
      </c>
      <c r="G377" t="s">
        <v>20</v>
      </c>
      <c r="H377" t="s">
        <v>40</v>
      </c>
      <c r="I377" s="1">
        <v>45022</v>
      </c>
      <c r="J377" s="1">
        <v>45025</v>
      </c>
      <c r="K377" s="1">
        <v>45028</v>
      </c>
      <c r="L377">
        <v>3</v>
      </c>
      <c r="M377">
        <v>5</v>
      </c>
      <c r="N377" t="s">
        <v>22</v>
      </c>
      <c r="O377">
        <v>460595</v>
      </c>
      <c r="U377">
        <f>Table1[[#This Row],[Interview_Date]]-Table1[[#This Row],[Application_Date]]</f>
        <v>3</v>
      </c>
      <c r="V377">
        <f>IF(OR(Table1[[#This Row],[Offer_Date]]="",Table1[[#This Row],[Interview_Date]]=""),"",Table1[[#This Row],[Offer_Date]]-Table1[[#This Row],[Interview_Date]])</f>
        <v>3</v>
      </c>
    </row>
    <row r="378" spans="1:22" x14ac:dyDescent="0.3">
      <c r="A378" t="s">
        <v>433</v>
      </c>
      <c r="B378" t="s">
        <v>42</v>
      </c>
      <c r="C378" t="s">
        <v>53</v>
      </c>
      <c r="D378" t="s">
        <v>26</v>
      </c>
      <c r="E378">
        <v>21</v>
      </c>
      <c r="F378" t="s">
        <v>39</v>
      </c>
      <c r="G378" t="s">
        <v>35</v>
      </c>
      <c r="H378" t="s">
        <v>54</v>
      </c>
      <c r="I378" s="1">
        <v>44271</v>
      </c>
      <c r="J378" s="1">
        <v>44284</v>
      </c>
      <c r="K378" s="1">
        <v>44286</v>
      </c>
      <c r="L378">
        <v>5</v>
      </c>
      <c r="M378">
        <v>2</v>
      </c>
      <c r="N378" t="s">
        <v>45</v>
      </c>
      <c r="O378">
        <v>402495</v>
      </c>
      <c r="U378">
        <f>Table1[[#This Row],[Interview_Date]]-Table1[[#This Row],[Application_Date]]</f>
        <v>13</v>
      </c>
      <c r="V378">
        <f>IF(OR(Table1[[#This Row],[Offer_Date]]="",Table1[[#This Row],[Interview_Date]]=""),"",Table1[[#This Row],[Offer_Date]]-Table1[[#This Row],[Interview_Date]])</f>
        <v>2</v>
      </c>
    </row>
    <row r="379" spans="1:22" x14ac:dyDescent="0.3">
      <c r="A379" t="s">
        <v>434</v>
      </c>
      <c r="B379" t="s">
        <v>38</v>
      </c>
      <c r="C379" t="s">
        <v>30</v>
      </c>
      <c r="D379" t="s">
        <v>26</v>
      </c>
      <c r="E379">
        <v>34</v>
      </c>
      <c r="F379" t="s">
        <v>34</v>
      </c>
      <c r="G379" t="s">
        <v>27</v>
      </c>
      <c r="H379" t="s">
        <v>40</v>
      </c>
      <c r="I379" s="1">
        <v>44689</v>
      </c>
      <c r="J379" s="1">
        <v>44695</v>
      </c>
      <c r="K379" s="1">
        <v>44702</v>
      </c>
      <c r="L379">
        <v>5</v>
      </c>
      <c r="M379">
        <v>6</v>
      </c>
      <c r="N379" t="s">
        <v>45</v>
      </c>
      <c r="O379">
        <v>1098909</v>
      </c>
      <c r="U379">
        <f>Table1[[#This Row],[Interview_Date]]-Table1[[#This Row],[Application_Date]]</f>
        <v>6</v>
      </c>
      <c r="V379">
        <f>IF(OR(Table1[[#This Row],[Offer_Date]]="",Table1[[#This Row],[Interview_Date]]=""),"",Table1[[#This Row],[Offer_Date]]-Table1[[#This Row],[Interview_Date]])</f>
        <v>7</v>
      </c>
    </row>
    <row r="380" spans="1:22" x14ac:dyDescent="0.3">
      <c r="A380" t="s">
        <v>435</v>
      </c>
      <c r="B380" t="s">
        <v>33</v>
      </c>
      <c r="C380" t="s">
        <v>17</v>
      </c>
      <c r="D380" t="s">
        <v>26</v>
      </c>
      <c r="E380">
        <v>28</v>
      </c>
      <c r="F380" t="s">
        <v>39</v>
      </c>
      <c r="G380" t="s">
        <v>60</v>
      </c>
      <c r="H380" t="s">
        <v>40</v>
      </c>
      <c r="I380" s="1">
        <v>44323</v>
      </c>
      <c r="J380" s="1">
        <v>44334</v>
      </c>
      <c r="K380" s="1">
        <v>44341</v>
      </c>
      <c r="L380">
        <v>2</v>
      </c>
      <c r="M380">
        <v>7</v>
      </c>
      <c r="N380" t="s">
        <v>28</v>
      </c>
      <c r="O380">
        <v>1086909</v>
      </c>
      <c r="U380">
        <f>Table1[[#This Row],[Interview_Date]]-Table1[[#This Row],[Application_Date]]</f>
        <v>11</v>
      </c>
      <c r="V380">
        <f>IF(OR(Table1[[#This Row],[Offer_Date]]="",Table1[[#This Row],[Interview_Date]]=""),"",Table1[[#This Row],[Offer_Date]]-Table1[[#This Row],[Interview_Date]])</f>
        <v>7</v>
      </c>
    </row>
    <row r="381" spans="1:22" x14ac:dyDescent="0.3">
      <c r="A381" t="s">
        <v>436</v>
      </c>
      <c r="B381" t="s">
        <v>38</v>
      </c>
      <c r="C381" t="s">
        <v>53</v>
      </c>
      <c r="D381" t="s">
        <v>18</v>
      </c>
      <c r="E381">
        <v>36</v>
      </c>
      <c r="F381" t="s">
        <v>34</v>
      </c>
      <c r="G381" t="s">
        <v>35</v>
      </c>
      <c r="H381" t="s">
        <v>21</v>
      </c>
      <c r="I381" s="1">
        <v>45059</v>
      </c>
      <c r="J381" s="1">
        <v>45071</v>
      </c>
      <c r="K381" s="1">
        <v>45073</v>
      </c>
      <c r="L381">
        <v>5</v>
      </c>
      <c r="M381">
        <v>2</v>
      </c>
      <c r="N381" t="s">
        <v>28</v>
      </c>
      <c r="O381">
        <v>610576</v>
      </c>
      <c r="U381">
        <f>Table1[[#This Row],[Interview_Date]]-Table1[[#This Row],[Application_Date]]</f>
        <v>12</v>
      </c>
      <c r="V381">
        <f>IF(OR(Table1[[#This Row],[Offer_Date]]="",Table1[[#This Row],[Interview_Date]]=""),"",Table1[[#This Row],[Offer_Date]]-Table1[[#This Row],[Interview_Date]])</f>
        <v>2</v>
      </c>
    </row>
    <row r="382" spans="1:22" x14ac:dyDescent="0.3">
      <c r="A382" t="s">
        <v>437</v>
      </c>
      <c r="B382" t="s">
        <v>72</v>
      </c>
      <c r="C382" t="s">
        <v>30</v>
      </c>
      <c r="D382" t="s">
        <v>26</v>
      </c>
      <c r="E382">
        <v>32</v>
      </c>
      <c r="F382" t="s">
        <v>34</v>
      </c>
      <c r="G382" t="s">
        <v>60</v>
      </c>
      <c r="H382" t="s">
        <v>21</v>
      </c>
      <c r="I382" s="1">
        <v>45049</v>
      </c>
      <c r="J382" s="1">
        <v>45053</v>
      </c>
      <c r="K382" s="1">
        <v>45060</v>
      </c>
      <c r="L382">
        <v>5</v>
      </c>
      <c r="M382">
        <v>4</v>
      </c>
      <c r="N382" t="s">
        <v>48</v>
      </c>
      <c r="O382">
        <v>957231</v>
      </c>
      <c r="U382">
        <f>Table1[[#This Row],[Interview_Date]]-Table1[[#This Row],[Application_Date]]</f>
        <v>4</v>
      </c>
      <c r="V382">
        <f>IF(OR(Table1[[#This Row],[Offer_Date]]="",Table1[[#This Row],[Interview_Date]]=""),"",Table1[[#This Row],[Offer_Date]]-Table1[[#This Row],[Interview_Date]])</f>
        <v>7</v>
      </c>
    </row>
    <row r="383" spans="1:22" x14ac:dyDescent="0.3">
      <c r="A383" t="s">
        <v>438</v>
      </c>
      <c r="B383" t="s">
        <v>38</v>
      </c>
      <c r="C383" t="s">
        <v>53</v>
      </c>
      <c r="D383" t="s">
        <v>18</v>
      </c>
      <c r="E383">
        <v>31</v>
      </c>
      <c r="F383" t="s">
        <v>34</v>
      </c>
      <c r="G383" t="s">
        <v>60</v>
      </c>
      <c r="H383" t="s">
        <v>54</v>
      </c>
      <c r="I383" s="1">
        <v>44348</v>
      </c>
      <c r="J383" s="1">
        <v>44352</v>
      </c>
      <c r="L383">
        <v>2</v>
      </c>
      <c r="M383">
        <v>8</v>
      </c>
      <c r="N383" t="s">
        <v>28</v>
      </c>
      <c r="O383">
        <v>530949</v>
      </c>
      <c r="U383">
        <f>Table1[[#This Row],[Interview_Date]]-Table1[[#This Row],[Application_Date]]</f>
        <v>4</v>
      </c>
      <c r="V383" t="str">
        <f>IF(OR(Table1[[#This Row],[Offer_Date]]="",Table1[[#This Row],[Interview_Date]]=""),"",Table1[[#This Row],[Offer_Date]]-Table1[[#This Row],[Interview_Date]])</f>
        <v/>
      </c>
    </row>
    <row r="384" spans="1:22" x14ac:dyDescent="0.3">
      <c r="A384" t="s">
        <v>439</v>
      </c>
      <c r="B384" t="s">
        <v>72</v>
      </c>
      <c r="C384" t="s">
        <v>30</v>
      </c>
      <c r="D384" t="s">
        <v>26</v>
      </c>
      <c r="E384">
        <v>42</v>
      </c>
      <c r="F384" t="s">
        <v>39</v>
      </c>
      <c r="G384" t="s">
        <v>35</v>
      </c>
      <c r="H384" t="s">
        <v>21</v>
      </c>
      <c r="I384" s="1">
        <v>45140</v>
      </c>
      <c r="J384" s="1">
        <v>45149</v>
      </c>
      <c r="L384">
        <v>4</v>
      </c>
      <c r="M384">
        <v>4</v>
      </c>
      <c r="N384" t="s">
        <v>48</v>
      </c>
      <c r="O384">
        <v>449025</v>
      </c>
      <c r="U384">
        <f>Table1[[#This Row],[Interview_Date]]-Table1[[#This Row],[Application_Date]]</f>
        <v>9</v>
      </c>
      <c r="V384" t="str">
        <f>IF(OR(Table1[[#This Row],[Offer_Date]]="",Table1[[#This Row],[Interview_Date]]=""),"",Table1[[#This Row],[Offer_Date]]-Table1[[#This Row],[Interview_Date]])</f>
        <v/>
      </c>
    </row>
    <row r="385" spans="1:22" x14ac:dyDescent="0.3">
      <c r="A385" t="s">
        <v>440</v>
      </c>
      <c r="B385" t="s">
        <v>42</v>
      </c>
      <c r="C385" t="s">
        <v>17</v>
      </c>
      <c r="D385" t="s">
        <v>18</v>
      </c>
      <c r="E385">
        <v>22</v>
      </c>
      <c r="F385" t="s">
        <v>74</v>
      </c>
      <c r="G385" t="s">
        <v>27</v>
      </c>
      <c r="H385" t="s">
        <v>51</v>
      </c>
      <c r="I385" s="1">
        <v>44310</v>
      </c>
      <c r="J385" s="1">
        <v>44321</v>
      </c>
      <c r="L385">
        <v>1</v>
      </c>
      <c r="M385">
        <v>2</v>
      </c>
      <c r="N385" t="s">
        <v>48</v>
      </c>
      <c r="O385">
        <v>937669</v>
      </c>
      <c r="U385">
        <f>Table1[[#This Row],[Interview_Date]]-Table1[[#This Row],[Application_Date]]</f>
        <v>11</v>
      </c>
      <c r="V385" t="str">
        <f>IF(OR(Table1[[#This Row],[Offer_Date]]="",Table1[[#This Row],[Interview_Date]]=""),"",Table1[[#This Row],[Offer_Date]]-Table1[[#This Row],[Interview_Date]])</f>
        <v/>
      </c>
    </row>
    <row r="386" spans="1:22" x14ac:dyDescent="0.3">
      <c r="A386" t="s">
        <v>441</v>
      </c>
      <c r="B386" t="s">
        <v>24</v>
      </c>
      <c r="C386" t="s">
        <v>69</v>
      </c>
      <c r="D386" t="s">
        <v>18</v>
      </c>
      <c r="E386">
        <v>43</v>
      </c>
      <c r="F386" t="s">
        <v>31</v>
      </c>
      <c r="G386" t="s">
        <v>20</v>
      </c>
      <c r="H386" t="s">
        <v>36</v>
      </c>
      <c r="I386" s="1">
        <v>44793</v>
      </c>
      <c r="J386" s="1">
        <v>44796</v>
      </c>
      <c r="K386" s="1">
        <v>44801</v>
      </c>
      <c r="L386">
        <v>2</v>
      </c>
      <c r="M386">
        <v>9</v>
      </c>
      <c r="N386" t="s">
        <v>28</v>
      </c>
      <c r="O386">
        <v>771003</v>
      </c>
      <c r="U386">
        <f>Table1[[#This Row],[Interview_Date]]-Table1[[#This Row],[Application_Date]]</f>
        <v>3</v>
      </c>
      <c r="V386">
        <f>IF(OR(Table1[[#This Row],[Offer_Date]]="",Table1[[#This Row],[Interview_Date]]=""),"",Table1[[#This Row],[Offer_Date]]-Table1[[#This Row],[Interview_Date]])</f>
        <v>5</v>
      </c>
    </row>
    <row r="387" spans="1:22" x14ac:dyDescent="0.3">
      <c r="A387" t="s">
        <v>442</v>
      </c>
      <c r="B387" t="s">
        <v>38</v>
      </c>
      <c r="C387" t="s">
        <v>43</v>
      </c>
      <c r="D387" t="s">
        <v>26</v>
      </c>
      <c r="E387">
        <v>29</v>
      </c>
      <c r="F387" t="s">
        <v>34</v>
      </c>
      <c r="G387" t="s">
        <v>27</v>
      </c>
      <c r="H387" t="s">
        <v>36</v>
      </c>
      <c r="I387" s="1">
        <v>45392</v>
      </c>
      <c r="J387" s="1">
        <v>45404</v>
      </c>
      <c r="L387">
        <v>3</v>
      </c>
      <c r="M387">
        <v>9</v>
      </c>
      <c r="N387" t="s">
        <v>48</v>
      </c>
      <c r="O387">
        <v>964863</v>
      </c>
      <c r="U387">
        <f>Table1[[#This Row],[Interview_Date]]-Table1[[#This Row],[Application_Date]]</f>
        <v>12</v>
      </c>
      <c r="V387" t="str">
        <f>IF(OR(Table1[[#This Row],[Offer_Date]]="",Table1[[#This Row],[Interview_Date]]=""),"",Table1[[#This Row],[Offer_Date]]-Table1[[#This Row],[Interview_Date]])</f>
        <v/>
      </c>
    </row>
    <row r="388" spans="1:22" x14ac:dyDescent="0.3">
      <c r="A388" t="s">
        <v>443</v>
      </c>
      <c r="B388" t="s">
        <v>58</v>
      </c>
      <c r="C388" t="s">
        <v>94</v>
      </c>
      <c r="D388" t="s">
        <v>18</v>
      </c>
      <c r="E388">
        <v>38</v>
      </c>
      <c r="F388" t="s">
        <v>19</v>
      </c>
      <c r="G388" t="s">
        <v>60</v>
      </c>
      <c r="H388" t="s">
        <v>21</v>
      </c>
      <c r="I388" s="1">
        <v>44315</v>
      </c>
      <c r="J388" s="1">
        <v>44320</v>
      </c>
      <c r="K388" s="1">
        <v>44327</v>
      </c>
      <c r="L388">
        <v>5</v>
      </c>
      <c r="M388">
        <v>10</v>
      </c>
      <c r="N388" t="s">
        <v>48</v>
      </c>
      <c r="O388">
        <v>427633</v>
      </c>
      <c r="U388">
        <f>Table1[[#This Row],[Interview_Date]]-Table1[[#This Row],[Application_Date]]</f>
        <v>5</v>
      </c>
      <c r="V388">
        <f>IF(OR(Table1[[#This Row],[Offer_Date]]="",Table1[[#This Row],[Interview_Date]]=""),"",Table1[[#This Row],[Offer_Date]]-Table1[[#This Row],[Interview_Date]])</f>
        <v>7</v>
      </c>
    </row>
    <row r="389" spans="1:22" x14ac:dyDescent="0.3">
      <c r="A389" t="s">
        <v>444</v>
      </c>
      <c r="B389" t="s">
        <v>58</v>
      </c>
      <c r="C389" t="s">
        <v>30</v>
      </c>
      <c r="D389" t="s">
        <v>26</v>
      </c>
      <c r="E389">
        <v>25</v>
      </c>
      <c r="F389" t="s">
        <v>56</v>
      </c>
      <c r="G389" t="s">
        <v>20</v>
      </c>
      <c r="H389" t="s">
        <v>21</v>
      </c>
      <c r="I389" s="1">
        <v>44312</v>
      </c>
      <c r="J389" s="1">
        <v>44327</v>
      </c>
      <c r="K389" s="1">
        <v>44334</v>
      </c>
      <c r="L389">
        <v>1</v>
      </c>
      <c r="M389">
        <v>10</v>
      </c>
      <c r="N389" t="s">
        <v>48</v>
      </c>
      <c r="O389">
        <v>686519</v>
      </c>
      <c r="U389">
        <f>Table1[[#This Row],[Interview_Date]]-Table1[[#This Row],[Application_Date]]</f>
        <v>15</v>
      </c>
      <c r="V389">
        <f>IF(OR(Table1[[#This Row],[Offer_Date]]="",Table1[[#This Row],[Interview_Date]]=""),"",Table1[[#This Row],[Offer_Date]]-Table1[[#This Row],[Interview_Date]])</f>
        <v>7</v>
      </c>
    </row>
    <row r="390" spans="1:22" x14ac:dyDescent="0.3">
      <c r="A390" t="s">
        <v>445</v>
      </c>
      <c r="B390" t="s">
        <v>24</v>
      </c>
      <c r="C390" t="s">
        <v>69</v>
      </c>
      <c r="D390" t="s">
        <v>18</v>
      </c>
      <c r="E390">
        <v>35</v>
      </c>
      <c r="F390" t="s">
        <v>74</v>
      </c>
      <c r="G390" t="s">
        <v>60</v>
      </c>
      <c r="H390" t="s">
        <v>36</v>
      </c>
      <c r="I390" s="1">
        <v>44888</v>
      </c>
      <c r="J390" s="1">
        <v>44897</v>
      </c>
      <c r="K390" s="1">
        <v>44899</v>
      </c>
      <c r="L390">
        <v>2</v>
      </c>
      <c r="M390">
        <v>3</v>
      </c>
      <c r="N390" t="s">
        <v>48</v>
      </c>
      <c r="O390">
        <v>455230</v>
      </c>
      <c r="U390">
        <f>Table1[[#This Row],[Interview_Date]]-Table1[[#This Row],[Application_Date]]</f>
        <v>9</v>
      </c>
      <c r="V390">
        <f>IF(OR(Table1[[#This Row],[Offer_Date]]="",Table1[[#This Row],[Interview_Date]]=""),"",Table1[[#This Row],[Offer_Date]]-Table1[[#This Row],[Interview_Date]])</f>
        <v>2</v>
      </c>
    </row>
    <row r="391" spans="1:22" x14ac:dyDescent="0.3">
      <c r="A391" t="s">
        <v>446</v>
      </c>
      <c r="B391" t="s">
        <v>72</v>
      </c>
      <c r="C391" t="s">
        <v>94</v>
      </c>
      <c r="D391" t="s">
        <v>26</v>
      </c>
      <c r="E391">
        <v>22</v>
      </c>
      <c r="F391" t="s">
        <v>39</v>
      </c>
      <c r="G391" t="s">
        <v>27</v>
      </c>
      <c r="H391" t="s">
        <v>40</v>
      </c>
      <c r="I391" s="1">
        <v>44205</v>
      </c>
      <c r="J391" s="1">
        <v>44213</v>
      </c>
      <c r="L391">
        <v>4</v>
      </c>
      <c r="M391">
        <v>8</v>
      </c>
      <c r="N391" t="s">
        <v>45</v>
      </c>
      <c r="O391">
        <v>339497</v>
      </c>
      <c r="U391">
        <f>Table1[[#This Row],[Interview_Date]]-Table1[[#This Row],[Application_Date]]</f>
        <v>8</v>
      </c>
      <c r="V391" t="str">
        <f>IF(OR(Table1[[#This Row],[Offer_Date]]="",Table1[[#This Row],[Interview_Date]]=""),"",Table1[[#This Row],[Offer_Date]]-Table1[[#This Row],[Interview_Date]])</f>
        <v/>
      </c>
    </row>
    <row r="392" spans="1:22" x14ac:dyDescent="0.3">
      <c r="A392" t="s">
        <v>447</v>
      </c>
      <c r="B392" t="s">
        <v>16</v>
      </c>
      <c r="C392" t="s">
        <v>17</v>
      </c>
      <c r="D392" t="s">
        <v>18</v>
      </c>
      <c r="E392">
        <v>28</v>
      </c>
      <c r="F392" t="s">
        <v>34</v>
      </c>
      <c r="G392" t="s">
        <v>60</v>
      </c>
      <c r="H392" t="s">
        <v>36</v>
      </c>
      <c r="I392" s="1">
        <v>45281</v>
      </c>
      <c r="J392" s="1">
        <v>45288</v>
      </c>
      <c r="K392" s="1">
        <v>45293</v>
      </c>
      <c r="L392">
        <v>3</v>
      </c>
      <c r="M392">
        <v>6</v>
      </c>
      <c r="N392" t="s">
        <v>45</v>
      </c>
      <c r="O392">
        <v>1133597</v>
      </c>
      <c r="U392">
        <f>Table1[[#This Row],[Interview_Date]]-Table1[[#This Row],[Application_Date]]</f>
        <v>7</v>
      </c>
      <c r="V392">
        <f>IF(OR(Table1[[#This Row],[Offer_Date]]="",Table1[[#This Row],[Interview_Date]]=""),"",Table1[[#This Row],[Offer_Date]]-Table1[[#This Row],[Interview_Date]])</f>
        <v>5</v>
      </c>
    </row>
    <row r="393" spans="1:22" x14ac:dyDescent="0.3">
      <c r="A393" t="s">
        <v>448</v>
      </c>
      <c r="B393" t="s">
        <v>63</v>
      </c>
      <c r="C393" t="s">
        <v>43</v>
      </c>
      <c r="D393" t="s">
        <v>18</v>
      </c>
      <c r="E393">
        <v>41</v>
      </c>
      <c r="F393" t="s">
        <v>56</v>
      </c>
      <c r="G393" t="s">
        <v>27</v>
      </c>
      <c r="H393" t="s">
        <v>36</v>
      </c>
      <c r="I393" s="1">
        <v>45282</v>
      </c>
      <c r="J393" s="1">
        <v>45286</v>
      </c>
      <c r="L393">
        <v>2</v>
      </c>
      <c r="M393">
        <v>7</v>
      </c>
      <c r="N393" t="s">
        <v>22</v>
      </c>
      <c r="O393">
        <v>522817</v>
      </c>
      <c r="U393">
        <f>Table1[[#This Row],[Interview_Date]]-Table1[[#This Row],[Application_Date]]</f>
        <v>4</v>
      </c>
      <c r="V393" t="str">
        <f>IF(OR(Table1[[#This Row],[Offer_Date]]="",Table1[[#This Row],[Interview_Date]]=""),"",Table1[[#This Row],[Offer_Date]]-Table1[[#This Row],[Interview_Date]])</f>
        <v/>
      </c>
    </row>
    <row r="394" spans="1:22" x14ac:dyDescent="0.3">
      <c r="A394" t="s">
        <v>449</v>
      </c>
      <c r="B394" t="s">
        <v>47</v>
      </c>
      <c r="C394" t="s">
        <v>94</v>
      </c>
      <c r="D394" t="s">
        <v>26</v>
      </c>
      <c r="E394">
        <v>39</v>
      </c>
      <c r="F394" t="s">
        <v>56</v>
      </c>
      <c r="G394" t="s">
        <v>20</v>
      </c>
      <c r="H394" t="s">
        <v>54</v>
      </c>
      <c r="I394" s="1">
        <v>44966</v>
      </c>
      <c r="J394" s="1">
        <v>44969</v>
      </c>
      <c r="K394" s="1">
        <v>44971</v>
      </c>
      <c r="L394">
        <v>4</v>
      </c>
      <c r="M394">
        <v>8</v>
      </c>
      <c r="N394" t="s">
        <v>22</v>
      </c>
      <c r="O394">
        <v>486527</v>
      </c>
      <c r="U394">
        <f>Table1[[#This Row],[Interview_Date]]-Table1[[#This Row],[Application_Date]]</f>
        <v>3</v>
      </c>
      <c r="V394">
        <f>IF(OR(Table1[[#This Row],[Offer_Date]]="",Table1[[#This Row],[Interview_Date]]=""),"",Table1[[#This Row],[Offer_Date]]-Table1[[#This Row],[Interview_Date]])</f>
        <v>2</v>
      </c>
    </row>
    <row r="395" spans="1:22" x14ac:dyDescent="0.3">
      <c r="A395" t="s">
        <v>450</v>
      </c>
      <c r="B395" t="s">
        <v>33</v>
      </c>
      <c r="C395" t="s">
        <v>53</v>
      </c>
      <c r="D395" t="s">
        <v>26</v>
      </c>
      <c r="E395">
        <v>22</v>
      </c>
      <c r="F395" t="s">
        <v>31</v>
      </c>
      <c r="G395" t="s">
        <v>44</v>
      </c>
      <c r="H395" t="s">
        <v>51</v>
      </c>
      <c r="I395" s="1">
        <v>44626</v>
      </c>
      <c r="J395" s="1">
        <v>44639</v>
      </c>
      <c r="L395">
        <v>2</v>
      </c>
      <c r="M395">
        <v>7</v>
      </c>
      <c r="N395" t="s">
        <v>48</v>
      </c>
      <c r="O395">
        <v>400602</v>
      </c>
      <c r="U395">
        <f>Table1[[#This Row],[Interview_Date]]-Table1[[#This Row],[Application_Date]]</f>
        <v>13</v>
      </c>
      <c r="V395" t="str">
        <f>IF(OR(Table1[[#This Row],[Offer_Date]]="",Table1[[#This Row],[Interview_Date]]=""),"",Table1[[#This Row],[Offer_Date]]-Table1[[#This Row],[Interview_Date]])</f>
        <v/>
      </c>
    </row>
    <row r="396" spans="1:22" x14ac:dyDescent="0.3">
      <c r="A396" t="s">
        <v>451</v>
      </c>
      <c r="B396" t="s">
        <v>72</v>
      </c>
      <c r="C396" t="s">
        <v>43</v>
      </c>
      <c r="D396" t="s">
        <v>18</v>
      </c>
      <c r="E396">
        <v>40</v>
      </c>
      <c r="F396" t="s">
        <v>19</v>
      </c>
      <c r="G396" t="s">
        <v>60</v>
      </c>
      <c r="H396" t="s">
        <v>40</v>
      </c>
      <c r="I396" s="1">
        <v>44845</v>
      </c>
      <c r="J396" s="1">
        <v>44853</v>
      </c>
      <c r="K396" s="1">
        <v>44860</v>
      </c>
      <c r="L396">
        <v>1</v>
      </c>
      <c r="M396">
        <v>6</v>
      </c>
      <c r="N396" t="s">
        <v>22</v>
      </c>
      <c r="O396">
        <v>996406</v>
      </c>
      <c r="U396">
        <f>Table1[[#This Row],[Interview_Date]]-Table1[[#This Row],[Application_Date]]</f>
        <v>8</v>
      </c>
      <c r="V396">
        <f>IF(OR(Table1[[#This Row],[Offer_Date]]="",Table1[[#This Row],[Interview_Date]]=""),"",Table1[[#This Row],[Offer_Date]]-Table1[[#This Row],[Interview_Date]])</f>
        <v>7</v>
      </c>
    </row>
    <row r="397" spans="1:22" x14ac:dyDescent="0.3">
      <c r="A397" t="s">
        <v>452</v>
      </c>
      <c r="B397" t="s">
        <v>58</v>
      </c>
      <c r="C397" t="s">
        <v>53</v>
      </c>
      <c r="D397" t="s">
        <v>18</v>
      </c>
      <c r="E397">
        <v>32</v>
      </c>
      <c r="F397" t="s">
        <v>74</v>
      </c>
      <c r="G397" t="s">
        <v>44</v>
      </c>
      <c r="H397" t="s">
        <v>54</v>
      </c>
      <c r="I397" s="1">
        <v>44398</v>
      </c>
      <c r="J397" s="1">
        <v>44411</v>
      </c>
      <c r="L397">
        <v>1</v>
      </c>
      <c r="M397">
        <v>4</v>
      </c>
      <c r="N397" t="s">
        <v>48</v>
      </c>
      <c r="O397">
        <v>839550</v>
      </c>
      <c r="U397">
        <f>Table1[[#This Row],[Interview_Date]]-Table1[[#This Row],[Application_Date]]</f>
        <v>13</v>
      </c>
      <c r="V397" t="str">
        <f>IF(OR(Table1[[#This Row],[Offer_Date]]="",Table1[[#This Row],[Interview_Date]]=""),"",Table1[[#This Row],[Offer_Date]]-Table1[[#This Row],[Interview_Date]])</f>
        <v/>
      </c>
    </row>
    <row r="398" spans="1:22" x14ac:dyDescent="0.3">
      <c r="A398" t="s">
        <v>453</v>
      </c>
      <c r="B398" t="s">
        <v>16</v>
      </c>
      <c r="C398" t="s">
        <v>94</v>
      </c>
      <c r="D398" t="s">
        <v>26</v>
      </c>
      <c r="E398">
        <v>33</v>
      </c>
      <c r="F398" t="s">
        <v>74</v>
      </c>
      <c r="G398" t="s">
        <v>44</v>
      </c>
      <c r="H398" t="s">
        <v>40</v>
      </c>
      <c r="I398" s="1">
        <v>44564</v>
      </c>
      <c r="J398" s="1">
        <v>44572</v>
      </c>
      <c r="K398" s="1">
        <v>44576</v>
      </c>
      <c r="L398">
        <v>4</v>
      </c>
      <c r="M398">
        <v>4</v>
      </c>
      <c r="N398" t="s">
        <v>48</v>
      </c>
      <c r="O398">
        <v>418304</v>
      </c>
      <c r="U398">
        <f>Table1[[#This Row],[Interview_Date]]-Table1[[#This Row],[Application_Date]]</f>
        <v>8</v>
      </c>
      <c r="V398">
        <f>IF(OR(Table1[[#This Row],[Offer_Date]]="",Table1[[#This Row],[Interview_Date]]=""),"",Table1[[#This Row],[Offer_Date]]-Table1[[#This Row],[Interview_Date]])</f>
        <v>4</v>
      </c>
    </row>
    <row r="399" spans="1:22" x14ac:dyDescent="0.3">
      <c r="A399" t="s">
        <v>454</v>
      </c>
      <c r="B399" t="s">
        <v>24</v>
      </c>
      <c r="C399" t="s">
        <v>30</v>
      </c>
      <c r="D399" t="s">
        <v>26</v>
      </c>
      <c r="E399">
        <v>30</v>
      </c>
      <c r="F399" t="s">
        <v>39</v>
      </c>
      <c r="G399" t="s">
        <v>60</v>
      </c>
      <c r="H399" t="s">
        <v>40</v>
      </c>
      <c r="I399" s="1">
        <v>44980</v>
      </c>
      <c r="J399" s="1">
        <v>44986</v>
      </c>
      <c r="L399">
        <v>4</v>
      </c>
      <c r="M399">
        <v>4</v>
      </c>
      <c r="N399" t="s">
        <v>28</v>
      </c>
      <c r="O399">
        <v>709249</v>
      </c>
      <c r="U399">
        <f>Table1[[#This Row],[Interview_Date]]-Table1[[#This Row],[Application_Date]]</f>
        <v>6</v>
      </c>
      <c r="V399" t="str">
        <f>IF(OR(Table1[[#This Row],[Offer_Date]]="",Table1[[#This Row],[Interview_Date]]=""),"",Table1[[#This Row],[Offer_Date]]-Table1[[#This Row],[Interview_Date]])</f>
        <v/>
      </c>
    </row>
    <row r="400" spans="1:22" x14ac:dyDescent="0.3">
      <c r="A400" t="s">
        <v>455</v>
      </c>
      <c r="B400" t="s">
        <v>33</v>
      </c>
      <c r="C400" t="s">
        <v>17</v>
      </c>
      <c r="D400" t="s">
        <v>26</v>
      </c>
      <c r="E400">
        <v>35</v>
      </c>
      <c r="F400" t="s">
        <v>19</v>
      </c>
      <c r="G400" t="s">
        <v>20</v>
      </c>
      <c r="H400" t="s">
        <v>36</v>
      </c>
      <c r="I400" s="1">
        <v>45242</v>
      </c>
      <c r="J400" s="1">
        <v>45254</v>
      </c>
      <c r="L400">
        <v>4</v>
      </c>
      <c r="M400">
        <v>4</v>
      </c>
      <c r="N400" t="s">
        <v>22</v>
      </c>
      <c r="O400">
        <v>357201</v>
      </c>
      <c r="U400">
        <f>Table1[[#This Row],[Interview_Date]]-Table1[[#This Row],[Application_Date]]</f>
        <v>12</v>
      </c>
      <c r="V400" t="str">
        <f>IF(OR(Table1[[#This Row],[Offer_Date]]="",Table1[[#This Row],[Interview_Date]]=""),"",Table1[[#This Row],[Offer_Date]]-Table1[[#This Row],[Interview_Date]])</f>
        <v/>
      </c>
    </row>
    <row r="401" spans="1:22" x14ac:dyDescent="0.3">
      <c r="A401" t="s">
        <v>456</v>
      </c>
      <c r="B401" t="s">
        <v>42</v>
      </c>
      <c r="C401" t="s">
        <v>69</v>
      </c>
      <c r="D401" t="s">
        <v>18</v>
      </c>
      <c r="E401">
        <v>40</v>
      </c>
      <c r="F401" t="s">
        <v>56</v>
      </c>
      <c r="G401" t="s">
        <v>35</v>
      </c>
      <c r="H401" t="s">
        <v>54</v>
      </c>
      <c r="I401" s="1">
        <v>45388</v>
      </c>
      <c r="J401" s="1">
        <v>45399</v>
      </c>
      <c r="L401">
        <v>2</v>
      </c>
      <c r="M401">
        <v>9</v>
      </c>
      <c r="N401" t="s">
        <v>28</v>
      </c>
      <c r="O401">
        <v>410535</v>
      </c>
      <c r="U401">
        <f>Table1[[#This Row],[Interview_Date]]-Table1[[#This Row],[Application_Date]]</f>
        <v>11</v>
      </c>
      <c r="V401" t="str">
        <f>IF(OR(Table1[[#This Row],[Offer_Date]]="",Table1[[#This Row],[Interview_Date]]=""),"",Table1[[#This Row],[Offer_Date]]-Table1[[#This Row],[Interview_Date]])</f>
        <v/>
      </c>
    </row>
    <row r="402" spans="1:22" x14ac:dyDescent="0.3">
      <c r="A402" t="s">
        <v>457</v>
      </c>
      <c r="B402" t="s">
        <v>38</v>
      </c>
      <c r="C402" t="s">
        <v>25</v>
      </c>
      <c r="D402" t="s">
        <v>18</v>
      </c>
      <c r="E402">
        <v>22</v>
      </c>
      <c r="F402" t="s">
        <v>19</v>
      </c>
      <c r="G402" t="s">
        <v>35</v>
      </c>
      <c r="H402" t="s">
        <v>54</v>
      </c>
      <c r="I402" s="1">
        <v>44477</v>
      </c>
      <c r="J402" s="1">
        <v>44489</v>
      </c>
      <c r="K402" s="1">
        <v>44491</v>
      </c>
      <c r="L402">
        <v>5</v>
      </c>
      <c r="M402">
        <v>8</v>
      </c>
      <c r="N402" t="s">
        <v>28</v>
      </c>
      <c r="O402">
        <v>751250</v>
      </c>
      <c r="U402">
        <f>Table1[[#This Row],[Interview_Date]]-Table1[[#This Row],[Application_Date]]</f>
        <v>12</v>
      </c>
      <c r="V402">
        <f>IF(OR(Table1[[#This Row],[Offer_Date]]="",Table1[[#This Row],[Interview_Date]]=""),"",Table1[[#This Row],[Offer_Date]]-Table1[[#This Row],[Interview_Date]])</f>
        <v>2</v>
      </c>
    </row>
    <row r="403" spans="1:22" x14ac:dyDescent="0.3">
      <c r="A403" t="s">
        <v>458</v>
      </c>
      <c r="B403" t="s">
        <v>72</v>
      </c>
      <c r="C403" t="s">
        <v>66</v>
      </c>
      <c r="D403" t="s">
        <v>26</v>
      </c>
      <c r="E403">
        <v>27</v>
      </c>
      <c r="F403" t="s">
        <v>74</v>
      </c>
      <c r="G403" t="s">
        <v>35</v>
      </c>
      <c r="H403" t="s">
        <v>51</v>
      </c>
      <c r="I403" s="1">
        <v>44508</v>
      </c>
      <c r="J403" s="1">
        <v>44517</v>
      </c>
      <c r="L403">
        <v>4</v>
      </c>
      <c r="M403">
        <v>8</v>
      </c>
      <c r="N403" t="s">
        <v>22</v>
      </c>
      <c r="O403">
        <v>319172</v>
      </c>
      <c r="U403">
        <f>Table1[[#This Row],[Interview_Date]]-Table1[[#This Row],[Application_Date]]</f>
        <v>9</v>
      </c>
      <c r="V403" t="str">
        <f>IF(OR(Table1[[#This Row],[Offer_Date]]="",Table1[[#This Row],[Interview_Date]]=""),"",Table1[[#This Row],[Offer_Date]]-Table1[[#This Row],[Interview_Date]])</f>
        <v/>
      </c>
    </row>
    <row r="404" spans="1:22" x14ac:dyDescent="0.3">
      <c r="A404" t="s">
        <v>459</v>
      </c>
      <c r="B404" t="s">
        <v>33</v>
      </c>
      <c r="C404" t="s">
        <v>43</v>
      </c>
      <c r="D404" t="s">
        <v>18</v>
      </c>
      <c r="E404">
        <v>38</v>
      </c>
      <c r="F404" t="s">
        <v>34</v>
      </c>
      <c r="G404" t="s">
        <v>20</v>
      </c>
      <c r="H404" t="s">
        <v>36</v>
      </c>
      <c r="I404" s="1">
        <v>45098</v>
      </c>
      <c r="J404" s="1">
        <v>45111</v>
      </c>
      <c r="K404" s="1">
        <v>45116</v>
      </c>
      <c r="L404">
        <v>5</v>
      </c>
      <c r="M404">
        <v>3</v>
      </c>
      <c r="N404" t="s">
        <v>45</v>
      </c>
      <c r="O404">
        <v>445693</v>
      </c>
      <c r="U404">
        <f>Table1[[#This Row],[Interview_Date]]-Table1[[#This Row],[Application_Date]]</f>
        <v>13</v>
      </c>
      <c r="V404">
        <f>IF(OR(Table1[[#This Row],[Offer_Date]]="",Table1[[#This Row],[Interview_Date]]=""),"",Table1[[#This Row],[Offer_Date]]-Table1[[#This Row],[Interview_Date]])</f>
        <v>5</v>
      </c>
    </row>
    <row r="405" spans="1:22" x14ac:dyDescent="0.3">
      <c r="A405" t="s">
        <v>460</v>
      </c>
      <c r="B405" t="s">
        <v>58</v>
      </c>
      <c r="C405" t="s">
        <v>43</v>
      </c>
      <c r="D405" t="s">
        <v>18</v>
      </c>
      <c r="E405">
        <v>25</v>
      </c>
      <c r="F405" t="s">
        <v>74</v>
      </c>
      <c r="G405" t="s">
        <v>44</v>
      </c>
      <c r="H405" t="s">
        <v>54</v>
      </c>
      <c r="I405" s="1">
        <v>44289</v>
      </c>
      <c r="J405" s="1">
        <v>44292</v>
      </c>
      <c r="L405">
        <v>3</v>
      </c>
      <c r="M405">
        <v>7</v>
      </c>
      <c r="N405" t="s">
        <v>48</v>
      </c>
      <c r="O405">
        <v>614212</v>
      </c>
      <c r="U405">
        <f>Table1[[#This Row],[Interview_Date]]-Table1[[#This Row],[Application_Date]]</f>
        <v>3</v>
      </c>
      <c r="V405" t="str">
        <f>IF(OR(Table1[[#This Row],[Offer_Date]]="",Table1[[#This Row],[Interview_Date]]=""),"",Table1[[#This Row],[Offer_Date]]-Table1[[#This Row],[Interview_Date]])</f>
        <v/>
      </c>
    </row>
    <row r="406" spans="1:22" x14ac:dyDescent="0.3">
      <c r="A406" t="s">
        <v>461</v>
      </c>
      <c r="B406" t="s">
        <v>63</v>
      </c>
      <c r="C406" t="s">
        <v>43</v>
      </c>
      <c r="D406" t="s">
        <v>26</v>
      </c>
      <c r="E406">
        <v>29</v>
      </c>
      <c r="F406" t="s">
        <v>31</v>
      </c>
      <c r="G406" t="s">
        <v>27</v>
      </c>
      <c r="H406" t="s">
        <v>54</v>
      </c>
      <c r="I406" s="1">
        <v>44320</v>
      </c>
      <c r="J406" s="1">
        <v>44333</v>
      </c>
      <c r="L406">
        <v>5</v>
      </c>
      <c r="M406">
        <v>6</v>
      </c>
      <c r="N406" t="s">
        <v>48</v>
      </c>
      <c r="O406">
        <v>586821</v>
      </c>
      <c r="U406">
        <f>Table1[[#This Row],[Interview_Date]]-Table1[[#This Row],[Application_Date]]</f>
        <v>13</v>
      </c>
      <c r="V406" t="str">
        <f>IF(OR(Table1[[#This Row],[Offer_Date]]="",Table1[[#This Row],[Interview_Date]]=""),"",Table1[[#This Row],[Offer_Date]]-Table1[[#This Row],[Interview_Date]])</f>
        <v/>
      </c>
    </row>
    <row r="407" spans="1:22" x14ac:dyDescent="0.3">
      <c r="A407" t="s">
        <v>462</v>
      </c>
      <c r="B407" t="s">
        <v>24</v>
      </c>
      <c r="C407" t="s">
        <v>69</v>
      </c>
      <c r="D407" t="s">
        <v>26</v>
      </c>
      <c r="E407">
        <v>22</v>
      </c>
      <c r="F407" t="s">
        <v>74</v>
      </c>
      <c r="G407" t="s">
        <v>27</v>
      </c>
      <c r="H407" t="s">
        <v>36</v>
      </c>
      <c r="I407" s="1">
        <v>44583</v>
      </c>
      <c r="J407" s="1">
        <v>44591</v>
      </c>
      <c r="L407">
        <v>5</v>
      </c>
      <c r="M407">
        <v>2</v>
      </c>
      <c r="N407" t="s">
        <v>28</v>
      </c>
      <c r="O407">
        <v>364492</v>
      </c>
      <c r="U407">
        <f>Table1[[#This Row],[Interview_Date]]-Table1[[#This Row],[Application_Date]]</f>
        <v>8</v>
      </c>
      <c r="V407" t="str">
        <f>IF(OR(Table1[[#This Row],[Offer_Date]]="",Table1[[#This Row],[Interview_Date]]=""),"",Table1[[#This Row],[Offer_Date]]-Table1[[#This Row],[Interview_Date]])</f>
        <v/>
      </c>
    </row>
    <row r="408" spans="1:22" x14ac:dyDescent="0.3">
      <c r="A408" t="s">
        <v>463</v>
      </c>
      <c r="B408" t="s">
        <v>24</v>
      </c>
      <c r="C408" t="s">
        <v>59</v>
      </c>
      <c r="D408" t="s">
        <v>26</v>
      </c>
      <c r="E408">
        <v>24</v>
      </c>
      <c r="F408" t="s">
        <v>74</v>
      </c>
      <c r="G408" t="s">
        <v>20</v>
      </c>
      <c r="H408" t="s">
        <v>36</v>
      </c>
      <c r="I408" s="1">
        <v>45197</v>
      </c>
      <c r="J408" s="1">
        <v>45207</v>
      </c>
      <c r="L408">
        <v>1</v>
      </c>
      <c r="M408">
        <v>5</v>
      </c>
      <c r="N408" t="s">
        <v>48</v>
      </c>
      <c r="O408">
        <v>450743</v>
      </c>
      <c r="U408">
        <f>Table1[[#This Row],[Interview_Date]]-Table1[[#This Row],[Application_Date]]</f>
        <v>10</v>
      </c>
      <c r="V408" t="str">
        <f>IF(OR(Table1[[#This Row],[Offer_Date]]="",Table1[[#This Row],[Interview_Date]]=""),"",Table1[[#This Row],[Offer_Date]]-Table1[[#This Row],[Interview_Date]])</f>
        <v/>
      </c>
    </row>
    <row r="409" spans="1:22" x14ac:dyDescent="0.3">
      <c r="A409" t="s">
        <v>464</v>
      </c>
      <c r="B409" t="s">
        <v>42</v>
      </c>
      <c r="C409" t="s">
        <v>17</v>
      </c>
      <c r="D409" t="s">
        <v>26</v>
      </c>
      <c r="E409">
        <v>37</v>
      </c>
      <c r="F409" t="s">
        <v>34</v>
      </c>
      <c r="G409" t="s">
        <v>27</v>
      </c>
      <c r="H409" t="s">
        <v>54</v>
      </c>
      <c r="I409" s="1">
        <v>45283</v>
      </c>
      <c r="J409" s="1">
        <v>45293</v>
      </c>
      <c r="K409" s="1">
        <v>45300</v>
      </c>
      <c r="L409">
        <v>3</v>
      </c>
      <c r="M409">
        <v>4</v>
      </c>
      <c r="N409" t="s">
        <v>22</v>
      </c>
      <c r="O409">
        <v>673061</v>
      </c>
      <c r="U409">
        <f>Table1[[#This Row],[Interview_Date]]-Table1[[#This Row],[Application_Date]]</f>
        <v>10</v>
      </c>
      <c r="V409">
        <f>IF(OR(Table1[[#This Row],[Offer_Date]]="",Table1[[#This Row],[Interview_Date]]=""),"",Table1[[#This Row],[Offer_Date]]-Table1[[#This Row],[Interview_Date]])</f>
        <v>7</v>
      </c>
    </row>
    <row r="410" spans="1:22" x14ac:dyDescent="0.3">
      <c r="A410" t="s">
        <v>465</v>
      </c>
      <c r="B410" t="s">
        <v>38</v>
      </c>
      <c r="C410" t="s">
        <v>43</v>
      </c>
      <c r="D410" t="s">
        <v>26</v>
      </c>
      <c r="E410">
        <v>41</v>
      </c>
      <c r="F410" t="s">
        <v>39</v>
      </c>
      <c r="G410" t="s">
        <v>27</v>
      </c>
      <c r="H410" t="s">
        <v>51</v>
      </c>
      <c r="I410" s="1">
        <v>44643</v>
      </c>
      <c r="J410" s="1">
        <v>44648</v>
      </c>
      <c r="L410">
        <v>2</v>
      </c>
      <c r="M410">
        <v>10</v>
      </c>
      <c r="N410" t="s">
        <v>48</v>
      </c>
      <c r="O410">
        <v>993139</v>
      </c>
      <c r="U410">
        <f>Table1[[#This Row],[Interview_Date]]-Table1[[#This Row],[Application_Date]]</f>
        <v>5</v>
      </c>
      <c r="V410" t="str">
        <f>IF(OR(Table1[[#This Row],[Offer_Date]]="",Table1[[#This Row],[Interview_Date]]=""),"",Table1[[#This Row],[Offer_Date]]-Table1[[#This Row],[Interview_Date]])</f>
        <v/>
      </c>
    </row>
    <row r="411" spans="1:22" x14ac:dyDescent="0.3">
      <c r="A411" t="s">
        <v>466</v>
      </c>
      <c r="B411" t="s">
        <v>24</v>
      </c>
      <c r="C411" t="s">
        <v>94</v>
      </c>
      <c r="D411" t="s">
        <v>26</v>
      </c>
      <c r="E411">
        <v>32</v>
      </c>
      <c r="F411" t="s">
        <v>31</v>
      </c>
      <c r="G411" t="s">
        <v>20</v>
      </c>
      <c r="H411" t="s">
        <v>36</v>
      </c>
      <c r="I411" s="1">
        <v>44245</v>
      </c>
      <c r="J411" s="1">
        <v>44257</v>
      </c>
      <c r="K411" s="1">
        <v>44264</v>
      </c>
      <c r="L411">
        <v>2</v>
      </c>
      <c r="M411">
        <v>3</v>
      </c>
      <c r="N411" t="s">
        <v>45</v>
      </c>
      <c r="O411">
        <v>633336</v>
      </c>
      <c r="U411">
        <f>Table1[[#This Row],[Interview_Date]]-Table1[[#This Row],[Application_Date]]</f>
        <v>12</v>
      </c>
      <c r="V411">
        <f>IF(OR(Table1[[#This Row],[Offer_Date]]="",Table1[[#This Row],[Interview_Date]]=""),"",Table1[[#This Row],[Offer_Date]]-Table1[[#This Row],[Interview_Date]])</f>
        <v>7</v>
      </c>
    </row>
    <row r="412" spans="1:22" x14ac:dyDescent="0.3">
      <c r="A412" t="s">
        <v>467</v>
      </c>
      <c r="B412" t="s">
        <v>16</v>
      </c>
      <c r="C412" t="s">
        <v>53</v>
      </c>
      <c r="D412" t="s">
        <v>26</v>
      </c>
      <c r="E412">
        <v>25</v>
      </c>
      <c r="F412" t="s">
        <v>74</v>
      </c>
      <c r="G412" t="s">
        <v>27</v>
      </c>
      <c r="H412" t="s">
        <v>40</v>
      </c>
      <c r="I412" s="1">
        <v>44975</v>
      </c>
      <c r="J412" s="1">
        <v>44979</v>
      </c>
      <c r="K412" s="1">
        <v>44981</v>
      </c>
      <c r="L412">
        <v>5</v>
      </c>
      <c r="M412">
        <v>4</v>
      </c>
      <c r="N412" t="s">
        <v>28</v>
      </c>
      <c r="O412">
        <v>1160931</v>
      </c>
      <c r="U412">
        <f>Table1[[#This Row],[Interview_Date]]-Table1[[#This Row],[Application_Date]]</f>
        <v>4</v>
      </c>
      <c r="V412">
        <f>IF(OR(Table1[[#This Row],[Offer_Date]]="",Table1[[#This Row],[Interview_Date]]=""),"",Table1[[#This Row],[Offer_Date]]-Table1[[#This Row],[Interview_Date]])</f>
        <v>2</v>
      </c>
    </row>
    <row r="413" spans="1:22" x14ac:dyDescent="0.3">
      <c r="A413" t="s">
        <v>468</v>
      </c>
      <c r="B413" t="s">
        <v>24</v>
      </c>
      <c r="C413" t="s">
        <v>53</v>
      </c>
      <c r="D413" t="s">
        <v>26</v>
      </c>
      <c r="E413">
        <v>24</v>
      </c>
      <c r="F413" t="s">
        <v>34</v>
      </c>
      <c r="G413" t="s">
        <v>35</v>
      </c>
      <c r="H413" t="s">
        <v>54</v>
      </c>
      <c r="I413" s="1">
        <v>45079</v>
      </c>
      <c r="J413" s="1">
        <v>45090</v>
      </c>
      <c r="L413">
        <v>4</v>
      </c>
      <c r="M413">
        <v>5</v>
      </c>
      <c r="N413" t="s">
        <v>28</v>
      </c>
      <c r="O413">
        <v>303004</v>
      </c>
      <c r="U413">
        <f>Table1[[#This Row],[Interview_Date]]-Table1[[#This Row],[Application_Date]]</f>
        <v>11</v>
      </c>
      <c r="V413" t="str">
        <f>IF(OR(Table1[[#This Row],[Offer_Date]]="",Table1[[#This Row],[Interview_Date]]=""),"",Table1[[#This Row],[Offer_Date]]-Table1[[#This Row],[Interview_Date]])</f>
        <v/>
      </c>
    </row>
    <row r="414" spans="1:22" x14ac:dyDescent="0.3">
      <c r="A414" t="s">
        <v>469</v>
      </c>
      <c r="B414" t="s">
        <v>47</v>
      </c>
      <c r="C414" t="s">
        <v>25</v>
      </c>
      <c r="D414" t="s">
        <v>18</v>
      </c>
      <c r="E414">
        <v>28</v>
      </c>
      <c r="F414" t="s">
        <v>56</v>
      </c>
      <c r="G414" t="s">
        <v>35</v>
      </c>
      <c r="H414" t="s">
        <v>51</v>
      </c>
      <c r="I414" s="1">
        <v>44366</v>
      </c>
      <c r="J414" s="1">
        <v>44372</v>
      </c>
      <c r="K414" s="1">
        <v>44377</v>
      </c>
      <c r="L414">
        <v>3</v>
      </c>
      <c r="M414">
        <v>3</v>
      </c>
      <c r="N414" t="s">
        <v>22</v>
      </c>
      <c r="O414">
        <v>466156</v>
      </c>
      <c r="U414">
        <f>Table1[[#This Row],[Interview_Date]]-Table1[[#This Row],[Application_Date]]</f>
        <v>6</v>
      </c>
      <c r="V414">
        <f>IF(OR(Table1[[#This Row],[Offer_Date]]="",Table1[[#This Row],[Interview_Date]]=""),"",Table1[[#This Row],[Offer_Date]]-Table1[[#This Row],[Interview_Date]])</f>
        <v>5</v>
      </c>
    </row>
    <row r="415" spans="1:22" x14ac:dyDescent="0.3">
      <c r="A415" t="s">
        <v>470</v>
      </c>
      <c r="B415" t="s">
        <v>33</v>
      </c>
      <c r="C415" t="s">
        <v>69</v>
      </c>
      <c r="D415" t="s">
        <v>18</v>
      </c>
      <c r="E415">
        <v>25</v>
      </c>
      <c r="F415" t="s">
        <v>56</v>
      </c>
      <c r="G415" t="s">
        <v>44</v>
      </c>
      <c r="H415" t="s">
        <v>40</v>
      </c>
      <c r="I415" s="1">
        <v>45242</v>
      </c>
      <c r="J415" s="1">
        <v>45257</v>
      </c>
      <c r="K415" s="1">
        <v>45261</v>
      </c>
      <c r="L415">
        <v>5</v>
      </c>
      <c r="M415">
        <v>3</v>
      </c>
      <c r="N415" t="s">
        <v>28</v>
      </c>
      <c r="O415">
        <v>614172</v>
      </c>
      <c r="U415">
        <f>Table1[[#This Row],[Interview_Date]]-Table1[[#This Row],[Application_Date]]</f>
        <v>15</v>
      </c>
      <c r="V415">
        <f>IF(OR(Table1[[#This Row],[Offer_Date]]="",Table1[[#This Row],[Interview_Date]]=""),"",Table1[[#This Row],[Offer_Date]]-Table1[[#This Row],[Interview_Date]])</f>
        <v>4</v>
      </c>
    </row>
    <row r="416" spans="1:22" x14ac:dyDescent="0.3">
      <c r="A416" t="s">
        <v>471</v>
      </c>
      <c r="B416" t="s">
        <v>47</v>
      </c>
      <c r="C416" t="s">
        <v>69</v>
      </c>
      <c r="D416" t="s">
        <v>26</v>
      </c>
      <c r="E416">
        <v>36</v>
      </c>
      <c r="F416" t="s">
        <v>56</v>
      </c>
      <c r="G416" t="s">
        <v>60</v>
      </c>
      <c r="H416" t="s">
        <v>21</v>
      </c>
      <c r="I416" s="1">
        <v>44351</v>
      </c>
      <c r="J416" s="1">
        <v>44354</v>
      </c>
      <c r="L416">
        <v>3</v>
      </c>
      <c r="M416">
        <v>5</v>
      </c>
      <c r="N416" t="s">
        <v>45</v>
      </c>
      <c r="O416">
        <v>610251</v>
      </c>
      <c r="U416">
        <f>Table1[[#This Row],[Interview_Date]]-Table1[[#This Row],[Application_Date]]</f>
        <v>3</v>
      </c>
      <c r="V416" t="str">
        <f>IF(OR(Table1[[#This Row],[Offer_Date]]="",Table1[[#This Row],[Interview_Date]]=""),"",Table1[[#This Row],[Offer_Date]]-Table1[[#This Row],[Interview_Date]])</f>
        <v/>
      </c>
    </row>
    <row r="417" spans="1:22" x14ac:dyDescent="0.3">
      <c r="A417" t="s">
        <v>472</v>
      </c>
      <c r="B417" t="s">
        <v>24</v>
      </c>
      <c r="C417" t="s">
        <v>50</v>
      </c>
      <c r="D417" t="s">
        <v>26</v>
      </c>
      <c r="E417">
        <v>22</v>
      </c>
      <c r="F417" t="s">
        <v>34</v>
      </c>
      <c r="G417" t="s">
        <v>44</v>
      </c>
      <c r="H417" t="s">
        <v>51</v>
      </c>
      <c r="I417" s="1">
        <v>45089</v>
      </c>
      <c r="J417" s="1">
        <v>45098</v>
      </c>
      <c r="K417" s="1">
        <v>45101</v>
      </c>
      <c r="L417">
        <v>1</v>
      </c>
      <c r="M417">
        <v>8</v>
      </c>
      <c r="N417" t="s">
        <v>28</v>
      </c>
      <c r="O417">
        <v>613189</v>
      </c>
      <c r="U417">
        <f>Table1[[#This Row],[Interview_Date]]-Table1[[#This Row],[Application_Date]]</f>
        <v>9</v>
      </c>
      <c r="V417">
        <f>IF(OR(Table1[[#This Row],[Offer_Date]]="",Table1[[#This Row],[Interview_Date]]=""),"",Table1[[#This Row],[Offer_Date]]-Table1[[#This Row],[Interview_Date]])</f>
        <v>3</v>
      </c>
    </row>
    <row r="418" spans="1:22" x14ac:dyDescent="0.3">
      <c r="A418" t="s">
        <v>473</v>
      </c>
      <c r="B418" t="s">
        <v>42</v>
      </c>
      <c r="C418" t="s">
        <v>17</v>
      </c>
      <c r="D418" t="s">
        <v>18</v>
      </c>
      <c r="E418">
        <v>37</v>
      </c>
      <c r="F418" t="s">
        <v>31</v>
      </c>
      <c r="G418" t="s">
        <v>27</v>
      </c>
      <c r="H418" t="s">
        <v>21</v>
      </c>
      <c r="I418" s="1">
        <v>45087</v>
      </c>
      <c r="J418" s="1">
        <v>45090</v>
      </c>
      <c r="L418">
        <v>2</v>
      </c>
      <c r="M418">
        <v>9</v>
      </c>
      <c r="N418" t="s">
        <v>48</v>
      </c>
      <c r="O418">
        <v>1151561</v>
      </c>
      <c r="U418">
        <f>Table1[[#This Row],[Interview_Date]]-Table1[[#This Row],[Application_Date]]</f>
        <v>3</v>
      </c>
      <c r="V418" t="str">
        <f>IF(OR(Table1[[#This Row],[Offer_Date]]="",Table1[[#This Row],[Interview_Date]]=""),"",Table1[[#This Row],[Offer_Date]]-Table1[[#This Row],[Interview_Date]])</f>
        <v/>
      </c>
    </row>
    <row r="419" spans="1:22" x14ac:dyDescent="0.3">
      <c r="A419" t="s">
        <v>474</v>
      </c>
      <c r="B419" t="s">
        <v>16</v>
      </c>
      <c r="C419" t="s">
        <v>59</v>
      </c>
      <c r="D419" t="s">
        <v>18</v>
      </c>
      <c r="E419">
        <v>38</v>
      </c>
      <c r="F419" t="s">
        <v>19</v>
      </c>
      <c r="G419" t="s">
        <v>60</v>
      </c>
      <c r="H419" t="s">
        <v>40</v>
      </c>
      <c r="I419" s="1">
        <v>44973</v>
      </c>
      <c r="J419" s="1">
        <v>44983</v>
      </c>
      <c r="K419" s="1">
        <v>44987</v>
      </c>
      <c r="L419">
        <v>5</v>
      </c>
      <c r="M419">
        <v>7</v>
      </c>
      <c r="N419" t="s">
        <v>28</v>
      </c>
      <c r="O419">
        <v>1155513</v>
      </c>
      <c r="U419">
        <f>Table1[[#This Row],[Interview_Date]]-Table1[[#This Row],[Application_Date]]</f>
        <v>10</v>
      </c>
      <c r="V419">
        <f>IF(OR(Table1[[#This Row],[Offer_Date]]="",Table1[[#This Row],[Interview_Date]]=""),"",Table1[[#This Row],[Offer_Date]]-Table1[[#This Row],[Interview_Date]])</f>
        <v>4</v>
      </c>
    </row>
    <row r="420" spans="1:22" x14ac:dyDescent="0.3">
      <c r="A420" t="s">
        <v>475</v>
      </c>
      <c r="B420" t="s">
        <v>16</v>
      </c>
      <c r="C420" t="s">
        <v>69</v>
      </c>
      <c r="D420" t="s">
        <v>26</v>
      </c>
      <c r="E420">
        <v>41</v>
      </c>
      <c r="F420" t="s">
        <v>19</v>
      </c>
      <c r="G420" t="s">
        <v>60</v>
      </c>
      <c r="H420" t="s">
        <v>36</v>
      </c>
      <c r="I420" s="1">
        <v>45005</v>
      </c>
      <c r="J420" s="1">
        <v>45010</v>
      </c>
      <c r="L420">
        <v>3</v>
      </c>
      <c r="M420">
        <v>2</v>
      </c>
      <c r="N420" t="s">
        <v>28</v>
      </c>
      <c r="O420">
        <v>1013607</v>
      </c>
      <c r="U420">
        <f>Table1[[#This Row],[Interview_Date]]-Table1[[#This Row],[Application_Date]]</f>
        <v>5</v>
      </c>
      <c r="V420" t="str">
        <f>IF(OR(Table1[[#This Row],[Offer_Date]]="",Table1[[#This Row],[Interview_Date]]=""),"",Table1[[#This Row],[Offer_Date]]-Table1[[#This Row],[Interview_Date]])</f>
        <v/>
      </c>
    </row>
    <row r="421" spans="1:22" x14ac:dyDescent="0.3">
      <c r="A421" t="s">
        <v>476</v>
      </c>
      <c r="B421" t="s">
        <v>42</v>
      </c>
      <c r="C421" t="s">
        <v>94</v>
      </c>
      <c r="D421" t="s">
        <v>26</v>
      </c>
      <c r="E421">
        <v>27</v>
      </c>
      <c r="F421" t="s">
        <v>39</v>
      </c>
      <c r="G421" t="s">
        <v>35</v>
      </c>
      <c r="H421" t="s">
        <v>54</v>
      </c>
      <c r="I421" s="1">
        <v>44363</v>
      </c>
      <c r="J421" s="1">
        <v>44369</v>
      </c>
      <c r="L421">
        <v>1</v>
      </c>
      <c r="M421">
        <v>6</v>
      </c>
      <c r="N421" t="s">
        <v>28</v>
      </c>
      <c r="O421">
        <v>1103634</v>
      </c>
      <c r="U421">
        <f>Table1[[#This Row],[Interview_Date]]-Table1[[#This Row],[Application_Date]]</f>
        <v>6</v>
      </c>
      <c r="V421" t="str">
        <f>IF(OR(Table1[[#This Row],[Offer_Date]]="",Table1[[#This Row],[Interview_Date]]=""),"",Table1[[#This Row],[Offer_Date]]-Table1[[#This Row],[Interview_Date]])</f>
        <v/>
      </c>
    </row>
    <row r="422" spans="1:22" x14ac:dyDescent="0.3">
      <c r="A422" t="s">
        <v>477</v>
      </c>
      <c r="B422" t="s">
        <v>72</v>
      </c>
      <c r="C422" t="s">
        <v>59</v>
      </c>
      <c r="D422" t="s">
        <v>26</v>
      </c>
      <c r="E422">
        <v>30</v>
      </c>
      <c r="F422" t="s">
        <v>56</v>
      </c>
      <c r="G422" t="s">
        <v>27</v>
      </c>
      <c r="H422" t="s">
        <v>51</v>
      </c>
      <c r="I422" s="1">
        <v>44721</v>
      </c>
      <c r="J422" s="1">
        <v>44735</v>
      </c>
      <c r="K422" s="1">
        <v>44738</v>
      </c>
      <c r="L422">
        <v>1</v>
      </c>
      <c r="M422">
        <v>4</v>
      </c>
      <c r="N422" t="s">
        <v>22</v>
      </c>
      <c r="O422">
        <v>888169</v>
      </c>
      <c r="U422">
        <f>Table1[[#This Row],[Interview_Date]]-Table1[[#This Row],[Application_Date]]</f>
        <v>14</v>
      </c>
      <c r="V422">
        <f>IF(OR(Table1[[#This Row],[Offer_Date]]="",Table1[[#This Row],[Interview_Date]]=""),"",Table1[[#This Row],[Offer_Date]]-Table1[[#This Row],[Interview_Date]])</f>
        <v>3</v>
      </c>
    </row>
    <row r="423" spans="1:22" x14ac:dyDescent="0.3">
      <c r="A423" t="s">
        <v>478</v>
      </c>
      <c r="B423" t="s">
        <v>42</v>
      </c>
      <c r="C423" t="s">
        <v>53</v>
      </c>
      <c r="D423" t="s">
        <v>26</v>
      </c>
      <c r="E423">
        <v>37</v>
      </c>
      <c r="F423" t="s">
        <v>74</v>
      </c>
      <c r="G423" t="s">
        <v>44</v>
      </c>
      <c r="H423" t="s">
        <v>51</v>
      </c>
      <c r="I423" s="1">
        <v>45059</v>
      </c>
      <c r="J423" s="1">
        <v>45069</v>
      </c>
      <c r="K423" s="1">
        <v>45074</v>
      </c>
      <c r="L423">
        <v>3</v>
      </c>
      <c r="M423">
        <v>5</v>
      </c>
      <c r="N423" t="s">
        <v>22</v>
      </c>
      <c r="O423">
        <v>1191111</v>
      </c>
      <c r="U423">
        <f>Table1[[#This Row],[Interview_Date]]-Table1[[#This Row],[Application_Date]]</f>
        <v>10</v>
      </c>
      <c r="V423">
        <f>IF(OR(Table1[[#This Row],[Offer_Date]]="",Table1[[#This Row],[Interview_Date]]=""),"",Table1[[#This Row],[Offer_Date]]-Table1[[#This Row],[Interview_Date]])</f>
        <v>5</v>
      </c>
    </row>
    <row r="424" spans="1:22" x14ac:dyDescent="0.3">
      <c r="A424" t="s">
        <v>479</v>
      </c>
      <c r="B424" t="s">
        <v>38</v>
      </c>
      <c r="C424" t="s">
        <v>50</v>
      </c>
      <c r="D424" t="s">
        <v>18</v>
      </c>
      <c r="E424">
        <v>44</v>
      </c>
      <c r="F424" t="s">
        <v>56</v>
      </c>
      <c r="G424" t="s">
        <v>27</v>
      </c>
      <c r="H424" t="s">
        <v>54</v>
      </c>
      <c r="I424" s="1">
        <v>45034</v>
      </c>
      <c r="J424" s="1">
        <v>45040</v>
      </c>
      <c r="K424" s="1">
        <v>45046</v>
      </c>
      <c r="L424">
        <v>1</v>
      </c>
      <c r="M424">
        <v>5</v>
      </c>
      <c r="N424" t="s">
        <v>22</v>
      </c>
      <c r="O424">
        <v>379285</v>
      </c>
      <c r="U424">
        <f>Table1[[#This Row],[Interview_Date]]-Table1[[#This Row],[Application_Date]]</f>
        <v>6</v>
      </c>
      <c r="V424">
        <f>IF(OR(Table1[[#This Row],[Offer_Date]]="",Table1[[#This Row],[Interview_Date]]=""),"",Table1[[#This Row],[Offer_Date]]-Table1[[#This Row],[Interview_Date]])</f>
        <v>6</v>
      </c>
    </row>
    <row r="425" spans="1:22" x14ac:dyDescent="0.3">
      <c r="A425" t="s">
        <v>480</v>
      </c>
      <c r="B425" t="s">
        <v>16</v>
      </c>
      <c r="C425" t="s">
        <v>50</v>
      </c>
      <c r="D425" t="s">
        <v>26</v>
      </c>
      <c r="E425">
        <v>33</v>
      </c>
      <c r="F425" t="s">
        <v>74</v>
      </c>
      <c r="G425" t="s">
        <v>20</v>
      </c>
      <c r="H425" t="s">
        <v>21</v>
      </c>
      <c r="I425" s="1">
        <v>44818</v>
      </c>
      <c r="J425" s="1">
        <v>44832</v>
      </c>
      <c r="L425">
        <v>4</v>
      </c>
      <c r="M425">
        <v>7</v>
      </c>
      <c r="N425" t="s">
        <v>28</v>
      </c>
      <c r="O425">
        <v>380946</v>
      </c>
      <c r="U425">
        <f>Table1[[#This Row],[Interview_Date]]-Table1[[#This Row],[Application_Date]]</f>
        <v>14</v>
      </c>
      <c r="V425" t="str">
        <f>IF(OR(Table1[[#This Row],[Offer_Date]]="",Table1[[#This Row],[Interview_Date]]=""),"",Table1[[#This Row],[Offer_Date]]-Table1[[#This Row],[Interview_Date]])</f>
        <v/>
      </c>
    </row>
    <row r="426" spans="1:22" x14ac:dyDescent="0.3">
      <c r="A426" t="s">
        <v>481</v>
      </c>
      <c r="B426" t="s">
        <v>42</v>
      </c>
      <c r="C426" t="s">
        <v>94</v>
      </c>
      <c r="D426" t="s">
        <v>26</v>
      </c>
      <c r="E426">
        <v>23</v>
      </c>
      <c r="F426" t="s">
        <v>31</v>
      </c>
      <c r="G426" t="s">
        <v>27</v>
      </c>
      <c r="H426" t="s">
        <v>54</v>
      </c>
      <c r="I426" s="1">
        <v>44896</v>
      </c>
      <c r="J426" s="1">
        <v>44909</v>
      </c>
      <c r="K426" s="1">
        <v>44915</v>
      </c>
      <c r="L426">
        <v>4</v>
      </c>
      <c r="M426">
        <v>5</v>
      </c>
      <c r="N426" t="s">
        <v>22</v>
      </c>
      <c r="O426">
        <v>779410</v>
      </c>
      <c r="U426">
        <f>Table1[[#This Row],[Interview_Date]]-Table1[[#This Row],[Application_Date]]</f>
        <v>13</v>
      </c>
      <c r="V426">
        <f>IF(OR(Table1[[#This Row],[Offer_Date]]="",Table1[[#This Row],[Interview_Date]]=""),"",Table1[[#This Row],[Offer_Date]]-Table1[[#This Row],[Interview_Date]])</f>
        <v>6</v>
      </c>
    </row>
    <row r="427" spans="1:22" x14ac:dyDescent="0.3">
      <c r="A427" t="s">
        <v>482</v>
      </c>
      <c r="B427" t="s">
        <v>72</v>
      </c>
      <c r="C427" t="s">
        <v>43</v>
      </c>
      <c r="D427" t="s">
        <v>18</v>
      </c>
      <c r="E427">
        <v>21</v>
      </c>
      <c r="F427" t="s">
        <v>74</v>
      </c>
      <c r="G427" t="s">
        <v>27</v>
      </c>
      <c r="H427" t="s">
        <v>36</v>
      </c>
      <c r="I427" s="1">
        <v>44977</v>
      </c>
      <c r="J427" s="1">
        <v>44981</v>
      </c>
      <c r="L427">
        <v>3</v>
      </c>
      <c r="M427">
        <v>7</v>
      </c>
      <c r="N427" t="s">
        <v>45</v>
      </c>
      <c r="O427">
        <v>827727</v>
      </c>
      <c r="U427">
        <f>Table1[[#This Row],[Interview_Date]]-Table1[[#This Row],[Application_Date]]</f>
        <v>4</v>
      </c>
      <c r="V427" t="str">
        <f>IF(OR(Table1[[#This Row],[Offer_Date]]="",Table1[[#This Row],[Interview_Date]]=""),"",Table1[[#This Row],[Offer_Date]]-Table1[[#This Row],[Interview_Date]])</f>
        <v/>
      </c>
    </row>
    <row r="428" spans="1:22" x14ac:dyDescent="0.3">
      <c r="A428" t="s">
        <v>483</v>
      </c>
      <c r="B428" t="s">
        <v>38</v>
      </c>
      <c r="C428" t="s">
        <v>30</v>
      </c>
      <c r="D428" t="s">
        <v>26</v>
      </c>
      <c r="E428">
        <v>28</v>
      </c>
      <c r="F428" t="s">
        <v>19</v>
      </c>
      <c r="G428" t="s">
        <v>35</v>
      </c>
      <c r="H428" t="s">
        <v>36</v>
      </c>
      <c r="I428" s="1">
        <v>44661</v>
      </c>
      <c r="J428" s="1">
        <v>44675</v>
      </c>
      <c r="K428" s="1">
        <v>44682</v>
      </c>
      <c r="L428">
        <v>3</v>
      </c>
      <c r="M428">
        <v>8</v>
      </c>
      <c r="N428" t="s">
        <v>28</v>
      </c>
      <c r="O428">
        <v>825753</v>
      </c>
      <c r="U428">
        <f>Table1[[#This Row],[Interview_Date]]-Table1[[#This Row],[Application_Date]]</f>
        <v>14</v>
      </c>
      <c r="V428">
        <f>IF(OR(Table1[[#This Row],[Offer_Date]]="",Table1[[#This Row],[Interview_Date]]=""),"",Table1[[#This Row],[Offer_Date]]-Table1[[#This Row],[Interview_Date]])</f>
        <v>7</v>
      </c>
    </row>
    <row r="429" spans="1:22" x14ac:dyDescent="0.3">
      <c r="A429" t="s">
        <v>484</v>
      </c>
      <c r="B429" t="s">
        <v>65</v>
      </c>
      <c r="C429" t="s">
        <v>53</v>
      </c>
      <c r="D429" t="s">
        <v>26</v>
      </c>
      <c r="E429">
        <v>42</v>
      </c>
      <c r="F429" t="s">
        <v>31</v>
      </c>
      <c r="G429" t="s">
        <v>60</v>
      </c>
      <c r="H429" t="s">
        <v>54</v>
      </c>
      <c r="I429" s="1">
        <v>44521</v>
      </c>
      <c r="J429" s="1">
        <v>44524</v>
      </c>
      <c r="K429" s="1">
        <v>44528</v>
      </c>
      <c r="L429">
        <v>3</v>
      </c>
      <c r="M429">
        <v>3</v>
      </c>
      <c r="N429" t="s">
        <v>48</v>
      </c>
      <c r="O429">
        <v>326180</v>
      </c>
      <c r="U429">
        <f>Table1[[#This Row],[Interview_Date]]-Table1[[#This Row],[Application_Date]]</f>
        <v>3</v>
      </c>
      <c r="V429">
        <f>IF(OR(Table1[[#This Row],[Offer_Date]]="",Table1[[#This Row],[Interview_Date]]=""),"",Table1[[#This Row],[Offer_Date]]-Table1[[#This Row],[Interview_Date]])</f>
        <v>4</v>
      </c>
    </row>
    <row r="430" spans="1:22" x14ac:dyDescent="0.3">
      <c r="A430" t="s">
        <v>485</v>
      </c>
      <c r="B430" t="s">
        <v>47</v>
      </c>
      <c r="C430" t="s">
        <v>66</v>
      </c>
      <c r="D430" t="s">
        <v>18</v>
      </c>
      <c r="E430">
        <v>42</v>
      </c>
      <c r="F430" t="s">
        <v>39</v>
      </c>
      <c r="G430" t="s">
        <v>20</v>
      </c>
      <c r="H430" t="s">
        <v>51</v>
      </c>
      <c r="I430" s="1">
        <v>44641</v>
      </c>
      <c r="J430" s="1">
        <v>44656</v>
      </c>
      <c r="K430" s="1">
        <v>44658</v>
      </c>
      <c r="L430">
        <v>2</v>
      </c>
      <c r="M430">
        <v>5</v>
      </c>
      <c r="N430" t="s">
        <v>48</v>
      </c>
      <c r="O430">
        <v>1047025</v>
      </c>
      <c r="U430">
        <f>Table1[[#This Row],[Interview_Date]]-Table1[[#This Row],[Application_Date]]</f>
        <v>15</v>
      </c>
      <c r="V430">
        <f>IF(OR(Table1[[#This Row],[Offer_Date]]="",Table1[[#This Row],[Interview_Date]]=""),"",Table1[[#This Row],[Offer_Date]]-Table1[[#This Row],[Interview_Date]])</f>
        <v>2</v>
      </c>
    </row>
    <row r="431" spans="1:22" x14ac:dyDescent="0.3">
      <c r="A431" t="s">
        <v>486</v>
      </c>
      <c r="B431" t="s">
        <v>42</v>
      </c>
      <c r="C431" t="s">
        <v>53</v>
      </c>
      <c r="D431" t="s">
        <v>18</v>
      </c>
      <c r="E431">
        <v>24</v>
      </c>
      <c r="F431" t="s">
        <v>31</v>
      </c>
      <c r="G431" t="s">
        <v>20</v>
      </c>
      <c r="H431" t="s">
        <v>54</v>
      </c>
      <c r="I431" s="1">
        <v>45164</v>
      </c>
      <c r="J431" s="1">
        <v>45179</v>
      </c>
      <c r="L431">
        <v>3</v>
      </c>
      <c r="M431">
        <v>10</v>
      </c>
      <c r="N431" t="s">
        <v>45</v>
      </c>
      <c r="O431">
        <v>999859</v>
      </c>
      <c r="U431">
        <f>Table1[[#This Row],[Interview_Date]]-Table1[[#This Row],[Application_Date]]</f>
        <v>15</v>
      </c>
      <c r="V431" t="str">
        <f>IF(OR(Table1[[#This Row],[Offer_Date]]="",Table1[[#This Row],[Interview_Date]]=""),"",Table1[[#This Row],[Offer_Date]]-Table1[[#This Row],[Interview_Date]])</f>
        <v/>
      </c>
    </row>
    <row r="432" spans="1:22" x14ac:dyDescent="0.3">
      <c r="A432" t="s">
        <v>487</v>
      </c>
      <c r="B432" t="s">
        <v>63</v>
      </c>
      <c r="C432" t="s">
        <v>69</v>
      </c>
      <c r="D432" t="s">
        <v>18</v>
      </c>
      <c r="E432">
        <v>24</v>
      </c>
      <c r="F432" t="s">
        <v>34</v>
      </c>
      <c r="G432" t="s">
        <v>60</v>
      </c>
      <c r="H432" t="s">
        <v>40</v>
      </c>
      <c r="I432" s="1">
        <v>45049</v>
      </c>
      <c r="J432" s="1">
        <v>45053</v>
      </c>
      <c r="K432" s="1">
        <v>45056</v>
      </c>
      <c r="L432">
        <v>1</v>
      </c>
      <c r="M432">
        <v>7</v>
      </c>
      <c r="N432" t="s">
        <v>22</v>
      </c>
      <c r="O432">
        <v>957822</v>
      </c>
      <c r="U432">
        <f>Table1[[#This Row],[Interview_Date]]-Table1[[#This Row],[Application_Date]]</f>
        <v>4</v>
      </c>
      <c r="V432">
        <f>IF(OR(Table1[[#This Row],[Offer_Date]]="",Table1[[#This Row],[Interview_Date]]=""),"",Table1[[#This Row],[Offer_Date]]-Table1[[#This Row],[Interview_Date]])</f>
        <v>3</v>
      </c>
    </row>
    <row r="433" spans="1:22" x14ac:dyDescent="0.3">
      <c r="A433" t="s">
        <v>488</v>
      </c>
      <c r="B433" t="s">
        <v>72</v>
      </c>
      <c r="C433" t="s">
        <v>59</v>
      </c>
      <c r="D433" t="s">
        <v>18</v>
      </c>
      <c r="E433">
        <v>25</v>
      </c>
      <c r="F433" t="s">
        <v>34</v>
      </c>
      <c r="G433" t="s">
        <v>60</v>
      </c>
      <c r="H433" t="s">
        <v>54</v>
      </c>
      <c r="I433" s="1">
        <v>45277</v>
      </c>
      <c r="J433" s="1">
        <v>45288</v>
      </c>
      <c r="L433">
        <v>4</v>
      </c>
      <c r="M433">
        <v>4</v>
      </c>
      <c r="N433" t="s">
        <v>28</v>
      </c>
      <c r="O433">
        <v>1078384</v>
      </c>
      <c r="U433">
        <f>Table1[[#This Row],[Interview_Date]]-Table1[[#This Row],[Application_Date]]</f>
        <v>11</v>
      </c>
      <c r="V433" t="str">
        <f>IF(OR(Table1[[#This Row],[Offer_Date]]="",Table1[[#This Row],[Interview_Date]]=""),"",Table1[[#This Row],[Offer_Date]]-Table1[[#This Row],[Interview_Date]])</f>
        <v/>
      </c>
    </row>
    <row r="434" spans="1:22" x14ac:dyDescent="0.3">
      <c r="A434" t="s">
        <v>489</v>
      </c>
      <c r="B434" t="s">
        <v>24</v>
      </c>
      <c r="C434" t="s">
        <v>94</v>
      </c>
      <c r="D434" t="s">
        <v>26</v>
      </c>
      <c r="E434">
        <v>45</v>
      </c>
      <c r="F434" t="s">
        <v>19</v>
      </c>
      <c r="G434" t="s">
        <v>35</v>
      </c>
      <c r="H434" t="s">
        <v>21</v>
      </c>
      <c r="I434" s="1">
        <v>44995</v>
      </c>
      <c r="J434" s="1">
        <v>45006</v>
      </c>
      <c r="L434">
        <v>3</v>
      </c>
      <c r="M434">
        <v>9</v>
      </c>
      <c r="N434" t="s">
        <v>48</v>
      </c>
      <c r="O434">
        <v>426742</v>
      </c>
      <c r="U434">
        <f>Table1[[#This Row],[Interview_Date]]-Table1[[#This Row],[Application_Date]]</f>
        <v>11</v>
      </c>
      <c r="V434" t="str">
        <f>IF(OR(Table1[[#This Row],[Offer_Date]]="",Table1[[#This Row],[Interview_Date]]=""),"",Table1[[#This Row],[Offer_Date]]-Table1[[#This Row],[Interview_Date]])</f>
        <v/>
      </c>
    </row>
    <row r="435" spans="1:22" x14ac:dyDescent="0.3">
      <c r="A435" t="s">
        <v>490</v>
      </c>
      <c r="B435" t="s">
        <v>16</v>
      </c>
      <c r="C435" t="s">
        <v>69</v>
      </c>
      <c r="D435" t="s">
        <v>18</v>
      </c>
      <c r="E435">
        <v>28</v>
      </c>
      <c r="F435" t="s">
        <v>56</v>
      </c>
      <c r="G435" t="s">
        <v>44</v>
      </c>
      <c r="H435" t="s">
        <v>54</v>
      </c>
      <c r="I435" s="1">
        <v>44670</v>
      </c>
      <c r="J435" s="1">
        <v>44673</v>
      </c>
      <c r="K435" s="1">
        <v>44676</v>
      </c>
      <c r="L435">
        <v>1</v>
      </c>
      <c r="M435">
        <v>10</v>
      </c>
      <c r="N435" t="s">
        <v>48</v>
      </c>
      <c r="O435">
        <v>812666</v>
      </c>
      <c r="U435">
        <f>Table1[[#This Row],[Interview_Date]]-Table1[[#This Row],[Application_Date]]</f>
        <v>3</v>
      </c>
      <c r="V435">
        <f>IF(OR(Table1[[#This Row],[Offer_Date]]="",Table1[[#This Row],[Interview_Date]]=""),"",Table1[[#This Row],[Offer_Date]]-Table1[[#This Row],[Interview_Date]])</f>
        <v>3</v>
      </c>
    </row>
    <row r="436" spans="1:22" x14ac:dyDescent="0.3">
      <c r="A436" t="s">
        <v>491</v>
      </c>
      <c r="B436" t="s">
        <v>65</v>
      </c>
      <c r="C436" t="s">
        <v>69</v>
      </c>
      <c r="D436" t="s">
        <v>26</v>
      </c>
      <c r="E436">
        <v>22</v>
      </c>
      <c r="F436" t="s">
        <v>31</v>
      </c>
      <c r="G436" t="s">
        <v>20</v>
      </c>
      <c r="H436" t="s">
        <v>51</v>
      </c>
      <c r="I436" s="1">
        <v>44506</v>
      </c>
      <c r="J436" s="1">
        <v>44513</v>
      </c>
      <c r="K436" s="1">
        <v>44515</v>
      </c>
      <c r="L436">
        <v>5</v>
      </c>
      <c r="M436">
        <v>7</v>
      </c>
      <c r="N436" t="s">
        <v>48</v>
      </c>
      <c r="O436">
        <v>533179</v>
      </c>
      <c r="U436">
        <f>Table1[[#This Row],[Interview_Date]]-Table1[[#This Row],[Application_Date]]</f>
        <v>7</v>
      </c>
      <c r="V436">
        <f>IF(OR(Table1[[#This Row],[Offer_Date]]="",Table1[[#This Row],[Interview_Date]]=""),"",Table1[[#This Row],[Offer_Date]]-Table1[[#This Row],[Interview_Date]])</f>
        <v>2</v>
      </c>
    </row>
    <row r="437" spans="1:22" x14ac:dyDescent="0.3">
      <c r="A437" t="s">
        <v>492</v>
      </c>
      <c r="B437" t="s">
        <v>42</v>
      </c>
      <c r="C437" t="s">
        <v>53</v>
      </c>
      <c r="D437" t="s">
        <v>18</v>
      </c>
      <c r="E437">
        <v>34</v>
      </c>
      <c r="F437" t="s">
        <v>34</v>
      </c>
      <c r="G437" t="s">
        <v>35</v>
      </c>
      <c r="H437" t="s">
        <v>40</v>
      </c>
      <c r="I437" s="1">
        <v>44420</v>
      </c>
      <c r="J437" s="1">
        <v>44429</v>
      </c>
      <c r="L437">
        <v>2</v>
      </c>
      <c r="M437">
        <v>6</v>
      </c>
      <c r="N437" t="s">
        <v>45</v>
      </c>
      <c r="O437">
        <v>538518</v>
      </c>
      <c r="U437">
        <f>Table1[[#This Row],[Interview_Date]]-Table1[[#This Row],[Application_Date]]</f>
        <v>9</v>
      </c>
      <c r="V437" t="str">
        <f>IF(OR(Table1[[#This Row],[Offer_Date]]="",Table1[[#This Row],[Interview_Date]]=""),"",Table1[[#This Row],[Offer_Date]]-Table1[[#This Row],[Interview_Date]])</f>
        <v/>
      </c>
    </row>
    <row r="438" spans="1:22" x14ac:dyDescent="0.3">
      <c r="A438" t="s">
        <v>493</v>
      </c>
      <c r="B438" t="s">
        <v>42</v>
      </c>
      <c r="C438" t="s">
        <v>25</v>
      </c>
      <c r="D438" t="s">
        <v>18</v>
      </c>
      <c r="E438">
        <v>26</v>
      </c>
      <c r="F438" t="s">
        <v>74</v>
      </c>
      <c r="G438" t="s">
        <v>27</v>
      </c>
      <c r="H438" t="s">
        <v>54</v>
      </c>
      <c r="I438" s="1">
        <v>45084</v>
      </c>
      <c r="J438" s="1">
        <v>45094</v>
      </c>
      <c r="K438" s="1">
        <v>45099</v>
      </c>
      <c r="L438">
        <v>5</v>
      </c>
      <c r="M438">
        <v>5</v>
      </c>
      <c r="N438" t="s">
        <v>28</v>
      </c>
      <c r="O438">
        <v>854414</v>
      </c>
      <c r="U438">
        <f>Table1[[#This Row],[Interview_Date]]-Table1[[#This Row],[Application_Date]]</f>
        <v>10</v>
      </c>
      <c r="V438">
        <f>IF(OR(Table1[[#This Row],[Offer_Date]]="",Table1[[#This Row],[Interview_Date]]=""),"",Table1[[#This Row],[Offer_Date]]-Table1[[#This Row],[Interview_Date]])</f>
        <v>5</v>
      </c>
    </row>
    <row r="439" spans="1:22" x14ac:dyDescent="0.3">
      <c r="A439" t="s">
        <v>494</v>
      </c>
      <c r="B439" t="s">
        <v>65</v>
      </c>
      <c r="C439" t="s">
        <v>50</v>
      </c>
      <c r="D439" t="s">
        <v>26</v>
      </c>
      <c r="E439">
        <v>44</v>
      </c>
      <c r="F439" t="s">
        <v>56</v>
      </c>
      <c r="G439" t="s">
        <v>44</v>
      </c>
      <c r="H439" t="s">
        <v>36</v>
      </c>
      <c r="I439" s="1">
        <v>44757</v>
      </c>
      <c r="J439" s="1">
        <v>44771</v>
      </c>
      <c r="K439" s="1">
        <v>44778</v>
      </c>
      <c r="L439">
        <v>5</v>
      </c>
      <c r="M439">
        <v>10</v>
      </c>
      <c r="N439" t="s">
        <v>45</v>
      </c>
      <c r="O439">
        <v>1010210</v>
      </c>
      <c r="U439">
        <f>Table1[[#This Row],[Interview_Date]]-Table1[[#This Row],[Application_Date]]</f>
        <v>14</v>
      </c>
      <c r="V439">
        <f>IF(OR(Table1[[#This Row],[Offer_Date]]="",Table1[[#This Row],[Interview_Date]]=""),"",Table1[[#This Row],[Offer_Date]]-Table1[[#This Row],[Interview_Date]])</f>
        <v>7</v>
      </c>
    </row>
    <row r="440" spans="1:22" x14ac:dyDescent="0.3">
      <c r="A440" t="s">
        <v>495</v>
      </c>
      <c r="B440" t="s">
        <v>38</v>
      </c>
      <c r="C440" t="s">
        <v>30</v>
      </c>
      <c r="D440" t="s">
        <v>18</v>
      </c>
      <c r="E440">
        <v>45</v>
      </c>
      <c r="F440" t="s">
        <v>56</v>
      </c>
      <c r="G440" t="s">
        <v>60</v>
      </c>
      <c r="H440" t="s">
        <v>36</v>
      </c>
      <c r="I440" s="1">
        <v>44333</v>
      </c>
      <c r="J440" s="1">
        <v>44340</v>
      </c>
      <c r="L440">
        <v>3</v>
      </c>
      <c r="M440">
        <v>6</v>
      </c>
      <c r="N440" t="s">
        <v>22</v>
      </c>
      <c r="O440">
        <v>435330</v>
      </c>
      <c r="U440">
        <f>Table1[[#This Row],[Interview_Date]]-Table1[[#This Row],[Application_Date]]</f>
        <v>7</v>
      </c>
      <c r="V440" t="str">
        <f>IF(OR(Table1[[#This Row],[Offer_Date]]="",Table1[[#This Row],[Interview_Date]]=""),"",Table1[[#This Row],[Offer_Date]]-Table1[[#This Row],[Interview_Date]])</f>
        <v/>
      </c>
    </row>
    <row r="441" spans="1:22" x14ac:dyDescent="0.3">
      <c r="A441" t="s">
        <v>496</v>
      </c>
      <c r="B441" t="s">
        <v>65</v>
      </c>
      <c r="C441" t="s">
        <v>25</v>
      </c>
      <c r="D441" t="s">
        <v>26</v>
      </c>
      <c r="E441">
        <v>32</v>
      </c>
      <c r="F441" t="s">
        <v>39</v>
      </c>
      <c r="G441" t="s">
        <v>35</v>
      </c>
      <c r="H441" t="s">
        <v>51</v>
      </c>
      <c r="I441" s="1">
        <v>45349</v>
      </c>
      <c r="J441" s="1">
        <v>45355</v>
      </c>
      <c r="K441" s="1">
        <v>45360</v>
      </c>
      <c r="L441">
        <v>3</v>
      </c>
      <c r="M441">
        <v>5</v>
      </c>
      <c r="N441" t="s">
        <v>48</v>
      </c>
      <c r="O441">
        <v>704163</v>
      </c>
      <c r="U441">
        <f>Table1[[#This Row],[Interview_Date]]-Table1[[#This Row],[Application_Date]]</f>
        <v>6</v>
      </c>
      <c r="V441">
        <f>IF(OR(Table1[[#This Row],[Offer_Date]]="",Table1[[#This Row],[Interview_Date]]=""),"",Table1[[#This Row],[Offer_Date]]-Table1[[#This Row],[Interview_Date]])</f>
        <v>5</v>
      </c>
    </row>
    <row r="442" spans="1:22" x14ac:dyDescent="0.3">
      <c r="A442" t="s">
        <v>497</v>
      </c>
      <c r="B442" t="s">
        <v>65</v>
      </c>
      <c r="C442" t="s">
        <v>59</v>
      </c>
      <c r="D442" t="s">
        <v>18</v>
      </c>
      <c r="E442">
        <v>39</v>
      </c>
      <c r="F442" t="s">
        <v>31</v>
      </c>
      <c r="G442" t="s">
        <v>20</v>
      </c>
      <c r="H442" t="s">
        <v>51</v>
      </c>
      <c r="I442" s="1">
        <v>44617</v>
      </c>
      <c r="J442" s="1">
        <v>44630</v>
      </c>
      <c r="L442">
        <v>2</v>
      </c>
      <c r="M442">
        <v>9</v>
      </c>
      <c r="N442" t="s">
        <v>48</v>
      </c>
      <c r="O442">
        <v>649338</v>
      </c>
      <c r="U442">
        <f>Table1[[#This Row],[Interview_Date]]-Table1[[#This Row],[Application_Date]]</f>
        <v>13</v>
      </c>
      <c r="V442" t="str">
        <f>IF(OR(Table1[[#This Row],[Offer_Date]]="",Table1[[#This Row],[Interview_Date]]=""),"",Table1[[#This Row],[Offer_Date]]-Table1[[#This Row],[Interview_Date]])</f>
        <v/>
      </c>
    </row>
    <row r="443" spans="1:22" x14ac:dyDescent="0.3">
      <c r="A443" t="s">
        <v>498</v>
      </c>
      <c r="B443" t="s">
        <v>63</v>
      </c>
      <c r="C443" t="s">
        <v>17</v>
      </c>
      <c r="D443" t="s">
        <v>26</v>
      </c>
      <c r="E443">
        <v>38</v>
      </c>
      <c r="F443" t="s">
        <v>39</v>
      </c>
      <c r="G443" t="s">
        <v>35</v>
      </c>
      <c r="H443" t="s">
        <v>21</v>
      </c>
      <c r="I443" s="1">
        <v>45035</v>
      </c>
      <c r="J443" s="1">
        <v>45045</v>
      </c>
      <c r="K443" s="1">
        <v>45047</v>
      </c>
      <c r="L443">
        <v>2</v>
      </c>
      <c r="M443">
        <v>9</v>
      </c>
      <c r="N443" t="s">
        <v>45</v>
      </c>
      <c r="O443">
        <v>1177289</v>
      </c>
      <c r="U443">
        <f>Table1[[#This Row],[Interview_Date]]-Table1[[#This Row],[Application_Date]]</f>
        <v>10</v>
      </c>
      <c r="V443">
        <f>IF(OR(Table1[[#This Row],[Offer_Date]]="",Table1[[#This Row],[Interview_Date]]=""),"",Table1[[#This Row],[Offer_Date]]-Table1[[#This Row],[Interview_Date]])</f>
        <v>2</v>
      </c>
    </row>
    <row r="444" spans="1:22" x14ac:dyDescent="0.3">
      <c r="A444" t="s">
        <v>499</v>
      </c>
      <c r="B444" t="s">
        <v>38</v>
      </c>
      <c r="C444" t="s">
        <v>53</v>
      </c>
      <c r="D444" t="s">
        <v>26</v>
      </c>
      <c r="E444">
        <v>39</v>
      </c>
      <c r="F444" t="s">
        <v>56</v>
      </c>
      <c r="G444" t="s">
        <v>27</v>
      </c>
      <c r="H444" t="s">
        <v>36</v>
      </c>
      <c r="I444" s="1">
        <v>44375</v>
      </c>
      <c r="J444" s="1">
        <v>44387</v>
      </c>
      <c r="K444" s="1">
        <v>44390</v>
      </c>
      <c r="L444">
        <v>2</v>
      </c>
      <c r="M444">
        <v>4</v>
      </c>
      <c r="N444" t="s">
        <v>28</v>
      </c>
      <c r="O444">
        <v>323691</v>
      </c>
      <c r="U444">
        <f>Table1[[#This Row],[Interview_Date]]-Table1[[#This Row],[Application_Date]]</f>
        <v>12</v>
      </c>
      <c r="V444">
        <f>IF(OR(Table1[[#This Row],[Offer_Date]]="",Table1[[#This Row],[Interview_Date]]=""),"",Table1[[#This Row],[Offer_Date]]-Table1[[#This Row],[Interview_Date]])</f>
        <v>3</v>
      </c>
    </row>
    <row r="445" spans="1:22" x14ac:dyDescent="0.3">
      <c r="A445" t="s">
        <v>500</v>
      </c>
      <c r="B445" t="s">
        <v>58</v>
      </c>
      <c r="C445" t="s">
        <v>50</v>
      </c>
      <c r="D445" t="s">
        <v>26</v>
      </c>
      <c r="E445">
        <v>35</v>
      </c>
      <c r="F445" t="s">
        <v>56</v>
      </c>
      <c r="G445" t="s">
        <v>20</v>
      </c>
      <c r="H445" t="s">
        <v>40</v>
      </c>
      <c r="I445" s="1">
        <v>45214</v>
      </c>
      <c r="J445" s="1">
        <v>45217</v>
      </c>
      <c r="L445">
        <v>2</v>
      </c>
      <c r="M445">
        <v>10</v>
      </c>
      <c r="N445" t="s">
        <v>22</v>
      </c>
      <c r="O445">
        <v>718581</v>
      </c>
      <c r="U445">
        <f>Table1[[#This Row],[Interview_Date]]-Table1[[#This Row],[Application_Date]]</f>
        <v>3</v>
      </c>
      <c r="V445" t="str">
        <f>IF(OR(Table1[[#This Row],[Offer_Date]]="",Table1[[#This Row],[Interview_Date]]=""),"",Table1[[#This Row],[Offer_Date]]-Table1[[#This Row],[Interview_Date]])</f>
        <v/>
      </c>
    </row>
    <row r="446" spans="1:22" x14ac:dyDescent="0.3">
      <c r="A446" t="s">
        <v>501</v>
      </c>
      <c r="B446" t="s">
        <v>24</v>
      </c>
      <c r="C446" t="s">
        <v>30</v>
      </c>
      <c r="D446" t="s">
        <v>18</v>
      </c>
      <c r="E446">
        <v>22</v>
      </c>
      <c r="F446" t="s">
        <v>31</v>
      </c>
      <c r="G446" t="s">
        <v>60</v>
      </c>
      <c r="H446" t="s">
        <v>51</v>
      </c>
      <c r="I446" s="1">
        <v>45194</v>
      </c>
      <c r="J446" s="1">
        <v>45202</v>
      </c>
      <c r="K446" s="1">
        <v>45209</v>
      </c>
      <c r="L446">
        <v>1</v>
      </c>
      <c r="M446">
        <v>7</v>
      </c>
      <c r="N446" t="s">
        <v>45</v>
      </c>
      <c r="O446">
        <v>365496</v>
      </c>
      <c r="U446">
        <f>Table1[[#This Row],[Interview_Date]]-Table1[[#This Row],[Application_Date]]</f>
        <v>8</v>
      </c>
      <c r="V446">
        <f>IF(OR(Table1[[#This Row],[Offer_Date]]="",Table1[[#This Row],[Interview_Date]]=""),"",Table1[[#This Row],[Offer_Date]]-Table1[[#This Row],[Interview_Date]])</f>
        <v>7</v>
      </c>
    </row>
    <row r="447" spans="1:22" x14ac:dyDescent="0.3">
      <c r="A447" t="s">
        <v>502</v>
      </c>
      <c r="B447" t="s">
        <v>58</v>
      </c>
      <c r="C447" t="s">
        <v>50</v>
      </c>
      <c r="D447" t="s">
        <v>18</v>
      </c>
      <c r="E447">
        <v>41</v>
      </c>
      <c r="F447" t="s">
        <v>31</v>
      </c>
      <c r="G447" t="s">
        <v>60</v>
      </c>
      <c r="H447" t="s">
        <v>40</v>
      </c>
      <c r="I447" s="1">
        <v>44951</v>
      </c>
      <c r="J447" s="1">
        <v>44959</v>
      </c>
      <c r="K447" s="1">
        <v>44961</v>
      </c>
      <c r="L447">
        <v>3</v>
      </c>
      <c r="M447">
        <v>7</v>
      </c>
      <c r="N447" t="s">
        <v>22</v>
      </c>
      <c r="O447">
        <v>390428</v>
      </c>
      <c r="U447">
        <f>Table1[[#This Row],[Interview_Date]]-Table1[[#This Row],[Application_Date]]</f>
        <v>8</v>
      </c>
      <c r="V447">
        <f>IF(OR(Table1[[#This Row],[Offer_Date]]="",Table1[[#This Row],[Interview_Date]]=""),"",Table1[[#This Row],[Offer_Date]]-Table1[[#This Row],[Interview_Date]])</f>
        <v>2</v>
      </c>
    </row>
    <row r="448" spans="1:22" x14ac:dyDescent="0.3">
      <c r="A448" t="s">
        <v>503</v>
      </c>
      <c r="B448" t="s">
        <v>42</v>
      </c>
      <c r="C448" t="s">
        <v>25</v>
      </c>
      <c r="D448" t="s">
        <v>26</v>
      </c>
      <c r="E448">
        <v>36</v>
      </c>
      <c r="F448" t="s">
        <v>56</v>
      </c>
      <c r="G448" t="s">
        <v>20</v>
      </c>
      <c r="H448" t="s">
        <v>21</v>
      </c>
      <c r="I448" s="1">
        <v>44809</v>
      </c>
      <c r="J448" s="1">
        <v>44815</v>
      </c>
      <c r="K448" s="1">
        <v>44821</v>
      </c>
      <c r="L448">
        <v>1</v>
      </c>
      <c r="M448">
        <v>3</v>
      </c>
      <c r="N448" t="s">
        <v>28</v>
      </c>
      <c r="O448">
        <v>504841</v>
      </c>
      <c r="U448">
        <f>Table1[[#This Row],[Interview_Date]]-Table1[[#This Row],[Application_Date]]</f>
        <v>6</v>
      </c>
      <c r="V448">
        <f>IF(OR(Table1[[#This Row],[Offer_Date]]="",Table1[[#This Row],[Interview_Date]]=""),"",Table1[[#This Row],[Offer_Date]]-Table1[[#This Row],[Interview_Date]])</f>
        <v>6</v>
      </c>
    </row>
    <row r="449" spans="1:22" x14ac:dyDescent="0.3">
      <c r="A449" t="s">
        <v>504</v>
      </c>
      <c r="B449" t="s">
        <v>72</v>
      </c>
      <c r="C449" t="s">
        <v>17</v>
      </c>
      <c r="D449" t="s">
        <v>18</v>
      </c>
      <c r="E449">
        <v>39</v>
      </c>
      <c r="F449" t="s">
        <v>74</v>
      </c>
      <c r="G449" t="s">
        <v>44</v>
      </c>
      <c r="H449" t="s">
        <v>40</v>
      </c>
      <c r="I449" s="1">
        <v>44475</v>
      </c>
      <c r="J449" s="1">
        <v>44489</v>
      </c>
      <c r="K449" s="1">
        <v>44491</v>
      </c>
      <c r="L449">
        <v>1</v>
      </c>
      <c r="M449">
        <v>6</v>
      </c>
      <c r="N449" t="s">
        <v>28</v>
      </c>
      <c r="O449">
        <v>912832</v>
      </c>
      <c r="U449">
        <f>Table1[[#This Row],[Interview_Date]]-Table1[[#This Row],[Application_Date]]</f>
        <v>14</v>
      </c>
      <c r="V449">
        <f>IF(OR(Table1[[#This Row],[Offer_Date]]="",Table1[[#This Row],[Interview_Date]]=""),"",Table1[[#This Row],[Offer_Date]]-Table1[[#This Row],[Interview_Date]])</f>
        <v>2</v>
      </c>
    </row>
    <row r="450" spans="1:22" x14ac:dyDescent="0.3">
      <c r="A450" t="s">
        <v>505</v>
      </c>
      <c r="B450" t="s">
        <v>38</v>
      </c>
      <c r="C450" t="s">
        <v>66</v>
      </c>
      <c r="D450" t="s">
        <v>26</v>
      </c>
      <c r="E450">
        <v>40</v>
      </c>
      <c r="F450" t="s">
        <v>31</v>
      </c>
      <c r="G450" t="s">
        <v>44</v>
      </c>
      <c r="H450" t="s">
        <v>54</v>
      </c>
      <c r="I450" s="1">
        <v>44329</v>
      </c>
      <c r="J450" s="1">
        <v>44344</v>
      </c>
      <c r="L450">
        <v>3</v>
      </c>
      <c r="M450">
        <v>9</v>
      </c>
      <c r="N450" t="s">
        <v>48</v>
      </c>
      <c r="O450">
        <v>679334</v>
      </c>
      <c r="U450">
        <f>Table1[[#This Row],[Interview_Date]]-Table1[[#This Row],[Application_Date]]</f>
        <v>15</v>
      </c>
      <c r="V450" t="str">
        <f>IF(OR(Table1[[#This Row],[Offer_Date]]="",Table1[[#This Row],[Interview_Date]]=""),"",Table1[[#This Row],[Offer_Date]]-Table1[[#This Row],[Interview_Date]])</f>
        <v/>
      </c>
    </row>
    <row r="451" spans="1:22" x14ac:dyDescent="0.3">
      <c r="A451" t="s">
        <v>506</v>
      </c>
      <c r="B451" t="s">
        <v>72</v>
      </c>
      <c r="C451" t="s">
        <v>25</v>
      </c>
      <c r="D451" t="s">
        <v>26</v>
      </c>
      <c r="E451">
        <v>36</v>
      </c>
      <c r="F451" t="s">
        <v>34</v>
      </c>
      <c r="G451" t="s">
        <v>27</v>
      </c>
      <c r="H451" t="s">
        <v>51</v>
      </c>
      <c r="I451" s="1">
        <v>44783</v>
      </c>
      <c r="J451" s="1">
        <v>44791</v>
      </c>
      <c r="L451">
        <v>1</v>
      </c>
      <c r="M451">
        <v>5</v>
      </c>
      <c r="N451" t="s">
        <v>48</v>
      </c>
      <c r="O451">
        <v>970028</v>
      </c>
      <c r="U451">
        <f>Table1[[#This Row],[Interview_Date]]-Table1[[#This Row],[Application_Date]]</f>
        <v>8</v>
      </c>
      <c r="V451" t="str">
        <f>IF(OR(Table1[[#This Row],[Offer_Date]]="",Table1[[#This Row],[Interview_Date]]=""),"",Table1[[#This Row],[Offer_Date]]-Table1[[#This Row],[Interview_Date]])</f>
        <v/>
      </c>
    </row>
    <row r="452" spans="1:22" x14ac:dyDescent="0.3">
      <c r="A452" t="s">
        <v>507</v>
      </c>
      <c r="B452" t="s">
        <v>33</v>
      </c>
      <c r="C452" t="s">
        <v>17</v>
      </c>
      <c r="D452" t="s">
        <v>26</v>
      </c>
      <c r="E452">
        <v>41</v>
      </c>
      <c r="F452" t="s">
        <v>39</v>
      </c>
      <c r="G452" t="s">
        <v>35</v>
      </c>
      <c r="H452" t="s">
        <v>54</v>
      </c>
      <c r="I452" s="1">
        <v>45240</v>
      </c>
      <c r="J452" s="1">
        <v>45253</v>
      </c>
      <c r="L452">
        <v>3</v>
      </c>
      <c r="M452">
        <v>5</v>
      </c>
      <c r="N452" t="s">
        <v>28</v>
      </c>
      <c r="O452">
        <v>1173085</v>
      </c>
      <c r="U452">
        <f>Table1[[#This Row],[Interview_Date]]-Table1[[#This Row],[Application_Date]]</f>
        <v>13</v>
      </c>
      <c r="V452" t="str">
        <f>IF(OR(Table1[[#This Row],[Offer_Date]]="",Table1[[#This Row],[Interview_Date]]=""),"",Table1[[#This Row],[Offer_Date]]-Table1[[#This Row],[Interview_Date]])</f>
        <v/>
      </c>
    </row>
    <row r="453" spans="1:22" x14ac:dyDescent="0.3">
      <c r="A453" t="s">
        <v>508</v>
      </c>
      <c r="B453" t="s">
        <v>63</v>
      </c>
      <c r="C453" t="s">
        <v>30</v>
      </c>
      <c r="D453" t="s">
        <v>18</v>
      </c>
      <c r="E453">
        <v>28</v>
      </c>
      <c r="F453" t="s">
        <v>56</v>
      </c>
      <c r="G453" t="s">
        <v>35</v>
      </c>
      <c r="H453" t="s">
        <v>21</v>
      </c>
      <c r="I453" s="1">
        <v>44780</v>
      </c>
      <c r="J453" s="1">
        <v>44789</v>
      </c>
      <c r="L453">
        <v>5</v>
      </c>
      <c r="M453">
        <v>8</v>
      </c>
      <c r="N453" t="s">
        <v>22</v>
      </c>
      <c r="O453">
        <v>762195</v>
      </c>
      <c r="U453">
        <f>Table1[[#This Row],[Interview_Date]]-Table1[[#This Row],[Application_Date]]</f>
        <v>9</v>
      </c>
      <c r="V453" t="str">
        <f>IF(OR(Table1[[#This Row],[Offer_Date]]="",Table1[[#This Row],[Interview_Date]]=""),"",Table1[[#This Row],[Offer_Date]]-Table1[[#This Row],[Interview_Date]])</f>
        <v/>
      </c>
    </row>
    <row r="454" spans="1:22" x14ac:dyDescent="0.3">
      <c r="A454" t="s">
        <v>509</v>
      </c>
      <c r="B454" t="s">
        <v>58</v>
      </c>
      <c r="C454" t="s">
        <v>66</v>
      </c>
      <c r="D454" t="s">
        <v>18</v>
      </c>
      <c r="E454">
        <v>22</v>
      </c>
      <c r="F454" t="s">
        <v>34</v>
      </c>
      <c r="G454" t="s">
        <v>60</v>
      </c>
      <c r="H454" t="s">
        <v>36</v>
      </c>
      <c r="I454" s="1">
        <v>44259</v>
      </c>
      <c r="J454" s="1">
        <v>44271</v>
      </c>
      <c r="L454">
        <v>3</v>
      </c>
      <c r="M454">
        <v>6</v>
      </c>
      <c r="N454" t="s">
        <v>22</v>
      </c>
      <c r="O454">
        <v>662094</v>
      </c>
      <c r="U454">
        <f>Table1[[#This Row],[Interview_Date]]-Table1[[#This Row],[Application_Date]]</f>
        <v>12</v>
      </c>
      <c r="V454" t="str">
        <f>IF(OR(Table1[[#This Row],[Offer_Date]]="",Table1[[#This Row],[Interview_Date]]=""),"",Table1[[#This Row],[Offer_Date]]-Table1[[#This Row],[Interview_Date]])</f>
        <v/>
      </c>
    </row>
    <row r="455" spans="1:22" x14ac:dyDescent="0.3">
      <c r="A455" t="s">
        <v>510</v>
      </c>
      <c r="B455" t="s">
        <v>42</v>
      </c>
      <c r="C455" t="s">
        <v>30</v>
      </c>
      <c r="D455" t="s">
        <v>18</v>
      </c>
      <c r="E455">
        <v>37</v>
      </c>
      <c r="F455" t="s">
        <v>34</v>
      </c>
      <c r="G455" t="s">
        <v>20</v>
      </c>
      <c r="H455" t="s">
        <v>40</v>
      </c>
      <c r="I455" s="1">
        <v>45158</v>
      </c>
      <c r="J455" s="1">
        <v>45164</v>
      </c>
      <c r="K455" s="1">
        <v>45170</v>
      </c>
      <c r="L455">
        <v>4</v>
      </c>
      <c r="M455">
        <v>6</v>
      </c>
      <c r="N455" t="s">
        <v>28</v>
      </c>
      <c r="O455">
        <v>501381</v>
      </c>
      <c r="U455">
        <f>Table1[[#This Row],[Interview_Date]]-Table1[[#This Row],[Application_Date]]</f>
        <v>6</v>
      </c>
      <c r="V455">
        <f>IF(OR(Table1[[#This Row],[Offer_Date]]="",Table1[[#This Row],[Interview_Date]]=""),"",Table1[[#This Row],[Offer_Date]]-Table1[[#This Row],[Interview_Date]])</f>
        <v>6</v>
      </c>
    </row>
    <row r="456" spans="1:22" x14ac:dyDescent="0.3">
      <c r="A456" t="s">
        <v>511</v>
      </c>
      <c r="B456" t="s">
        <v>16</v>
      </c>
      <c r="C456" t="s">
        <v>30</v>
      </c>
      <c r="D456" t="s">
        <v>26</v>
      </c>
      <c r="E456">
        <v>32</v>
      </c>
      <c r="F456" t="s">
        <v>56</v>
      </c>
      <c r="G456" t="s">
        <v>35</v>
      </c>
      <c r="H456" t="s">
        <v>40</v>
      </c>
      <c r="I456" s="1">
        <v>44764</v>
      </c>
      <c r="J456" s="1">
        <v>44779</v>
      </c>
      <c r="L456">
        <v>2</v>
      </c>
      <c r="M456">
        <v>4</v>
      </c>
      <c r="N456" t="s">
        <v>48</v>
      </c>
      <c r="O456">
        <v>720018</v>
      </c>
      <c r="U456">
        <f>Table1[[#This Row],[Interview_Date]]-Table1[[#This Row],[Application_Date]]</f>
        <v>15</v>
      </c>
      <c r="V456" t="str">
        <f>IF(OR(Table1[[#This Row],[Offer_Date]]="",Table1[[#This Row],[Interview_Date]]=""),"",Table1[[#This Row],[Offer_Date]]-Table1[[#This Row],[Interview_Date]])</f>
        <v/>
      </c>
    </row>
    <row r="457" spans="1:22" x14ac:dyDescent="0.3">
      <c r="A457" t="s">
        <v>512</v>
      </c>
      <c r="B457" t="s">
        <v>33</v>
      </c>
      <c r="C457" t="s">
        <v>69</v>
      </c>
      <c r="D457" t="s">
        <v>18</v>
      </c>
      <c r="E457">
        <v>29</v>
      </c>
      <c r="F457" t="s">
        <v>56</v>
      </c>
      <c r="G457" t="s">
        <v>35</v>
      </c>
      <c r="H457" t="s">
        <v>40</v>
      </c>
      <c r="I457" s="1">
        <v>44875</v>
      </c>
      <c r="J457" s="1">
        <v>44881</v>
      </c>
      <c r="L457">
        <v>3</v>
      </c>
      <c r="M457">
        <v>6</v>
      </c>
      <c r="N457" t="s">
        <v>48</v>
      </c>
      <c r="O457">
        <v>1122504</v>
      </c>
      <c r="U457">
        <f>Table1[[#This Row],[Interview_Date]]-Table1[[#This Row],[Application_Date]]</f>
        <v>6</v>
      </c>
      <c r="V457" t="str">
        <f>IF(OR(Table1[[#This Row],[Offer_Date]]="",Table1[[#This Row],[Interview_Date]]=""),"",Table1[[#This Row],[Offer_Date]]-Table1[[#This Row],[Interview_Date]])</f>
        <v/>
      </c>
    </row>
    <row r="458" spans="1:22" x14ac:dyDescent="0.3">
      <c r="A458" t="s">
        <v>513</v>
      </c>
      <c r="B458" t="s">
        <v>72</v>
      </c>
      <c r="C458" t="s">
        <v>59</v>
      </c>
      <c r="D458" t="s">
        <v>26</v>
      </c>
      <c r="E458">
        <v>37</v>
      </c>
      <c r="F458" t="s">
        <v>56</v>
      </c>
      <c r="G458" t="s">
        <v>60</v>
      </c>
      <c r="H458" t="s">
        <v>36</v>
      </c>
      <c r="I458" s="1">
        <v>45353</v>
      </c>
      <c r="J458" s="1">
        <v>45367</v>
      </c>
      <c r="K458" s="1">
        <v>45372</v>
      </c>
      <c r="L458">
        <v>3</v>
      </c>
      <c r="M458">
        <v>2</v>
      </c>
      <c r="N458" t="s">
        <v>45</v>
      </c>
      <c r="O458">
        <v>431936</v>
      </c>
      <c r="U458">
        <f>Table1[[#This Row],[Interview_Date]]-Table1[[#This Row],[Application_Date]]</f>
        <v>14</v>
      </c>
      <c r="V458">
        <f>IF(OR(Table1[[#This Row],[Offer_Date]]="",Table1[[#This Row],[Interview_Date]]=""),"",Table1[[#This Row],[Offer_Date]]-Table1[[#This Row],[Interview_Date]])</f>
        <v>5</v>
      </c>
    </row>
    <row r="459" spans="1:22" x14ac:dyDescent="0.3">
      <c r="A459" t="s">
        <v>514</v>
      </c>
      <c r="B459" t="s">
        <v>58</v>
      </c>
      <c r="C459" t="s">
        <v>43</v>
      </c>
      <c r="D459" t="s">
        <v>26</v>
      </c>
      <c r="E459">
        <v>42</v>
      </c>
      <c r="F459" t="s">
        <v>56</v>
      </c>
      <c r="G459" t="s">
        <v>60</v>
      </c>
      <c r="H459" t="s">
        <v>51</v>
      </c>
      <c r="I459" s="1">
        <v>44999</v>
      </c>
      <c r="J459" s="1">
        <v>45014</v>
      </c>
      <c r="L459">
        <v>1</v>
      </c>
      <c r="M459">
        <v>8</v>
      </c>
      <c r="N459" t="s">
        <v>45</v>
      </c>
      <c r="O459">
        <v>1054174</v>
      </c>
      <c r="U459">
        <f>Table1[[#This Row],[Interview_Date]]-Table1[[#This Row],[Application_Date]]</f>
        <v>15</v>
      </c>
      <c r="V459" t="str">
        <f>IF(OR(Table1[[#This Row],[Offer_Date]]="",Table1[[#This Row],[Interview_Date]]=""),"",Table1[[#This Row],[Offer_Date]]-Table1[[#This Row],[Interview_Date]])</f>
        <v/>
      </c>
    </row>
    <row r="460" spans="1:22" x14ac:dyDescent="0.3">
      <c r="A460" t="s">
        <v>515</v>
      </c>
      <c r="B460" t="s">
        <v>16</v>
      </c>
      <c r="C460" t="s">
        <v>94</v>
      </c>
      <c r="D460" t="s">
        <v>26</v>
      </c>
      <c r="E460">
        <v>21</v>
      </c>
      <c r="F460" t="s">
        <v>56</v>
      </c>
      <c r="G460" t="s">
        <v>44</v>
      </c>
      <c r="H460" t="s">
        <v>21</v>
      </c>
      <c r="I460" s="1">
        <v>44732</v>
      </c>
      <c r="J460" s="1">
        <v>44745</v>
      </c>
      <c r="K460" s="1">
        <v>44748</v>
      </c>
      <c r="L460">
        <v>5</v>
      </c>
      <c r="M460">
        <v>9</v>
      </c>
      <c r="N460" t="s">
        <v>45</v>
      </c>
      <c r="O460">
        <v>878937</v>
      </c>
      <c r="U460">
        <f>Table1[[#This Row],[Interview_Date]]-Table1[[#This Row],[Application_Date]]</f>
        <v>13</v>
      </c>
      <c r="V460">
        <f>IF(OR(Table1[[#This Row],[Offer_Date]]="",Table1[[#This Row],[Interview_Date]]=""),"",Table1[[#This Row],[Offer_Date]]-Table1[[#This Row],[Interview_Date]])</f>
        <v>3</v>
      </c>
    </row>
    <row r="461" spans="1:22" x14ac:dyDescent="0.3">
      <c r="A461" t="s">
        <v>516</v>
      </c>
      <c r="B461" t="s">
        <v>33</v>
      </c>
      <c r="C461" t="s">
        <v>43</v>
      </c>
      <c r="D461" t="s">
        <v>26</v>
      </c>
      <c r="E461">
        <v>44</v>
      </c>
      <c r="F461" t="s">
        <v>74</v>
      </c>
      <c r="G461" t="s">
        <v>35</v>
      </c>
      <c r="H461" t="s">
        <v>54</v>
      </c>
      <c r="I461" s="1">
        <v>44342</v>
      </c>
      <c r="J461" s="1">
        <v>44357</v>
      </c>
      <c r="L461">
        <v>2</v>
      </c>
      <c r="M461">
        <v>3</v>
      </c>
      <c r="N461" t="s">
        <v>22</v>
      </c>
      <c r="O461">
        <v>584477</v>
      </c>
      <c r="U461">
        <f>Table1[[#This Row],[Interview_Date]]-Table1[[#This Row],[Application_Date]]</f>
        <v>15</v>
      </c>
      <c r="V461" t="str">
        <f>IF(OR(Table1[[#This Row],[Offer_Date]]="",Table1[[#This Row],[Interview_Date]]=""),"",Table1[[#This Row],[Offer_Date]]-Table1[[#This Row],[Interview_Date]])</f>
        <v/>
      </c>
    </row>
    <row r="462" spans="1:22" x14ac:dyDescent="0.3">
      <c r="A462" t="s">
        <v>517</v>
      </c>
      <c r="B462" t="s">
        <v>63</v>
      </c>
      <c r="C462" t="s">
        <v>25</v>
      </c>
      <c r="D462" t="s">
        <v>18</v>
      </c>
      <c r="E462">
        <v>21</v>
      </c>
      <c r="F462" t="s">
        <v>34</v>
      </c>
      <c r="G462" t="s">
        <v>35</v>
      </c>
      <c r="H462" t="s">
        <v>51</v>
      </c>
      <c r="I462" s="1">
        <v>45277</v>
      </c>
      <c r="J462" s="1">
        <v>45282</v>
      </c>
      <c r="K462" s="1">
        <v>45287</v>
      </c>
      <c r="L462">
        <v>4</v>
      </c>
      <c r="M462">
        <v>10</v>
      </c>
      <c r="N462" t="s">
        <v>28</v>
      </c>
      <c r="O462">
        <v>627138</v>
      </c>
      <c r="U462">
        <f>Table1[[#This Row],[Interview_Date]]-Table1[[#This Row],[Application_Date]]</f>
        <v>5</v>
      </c>
      <c r="V462">
        <f>IF(OR(Table1[[#This Row],[Offer_Date]]="",Table1[[#This Row],[Interview_Date]]=""),"",Table1[[#This Row],[Offer_Date]]-Table1[[#This Row],[Interview_Date]])</f>
        <v>5</v>
      </c>
    </row>
    <row r="463" spans="1:22" x14ac:dyDescent="0.3">
      <c r="A463" t="s">
        <v>518</v>
      </c>
      <c r="B463" t="s">
        <v>24</v>
      </c>
      <c r="C463" t="s">
        <v>30</v>
      </c>
      <c r="D463" t="s">
        <v>26</v>
      </c>
      <c r="E463">
        <v>44</v>
      </c>
      <c r="F463" t="s">
        <v>31</v>
      </c>
      <c r="G463" t="s">
        <v>27</v>
      </c>
      <c r="H463" t="s">
        <v>40</v>
      </c>
      <c r="I463" s="1">
        <v>44651</v>
      </c>
      <c r="J463" s="1">
        <v>44666</v>
      </c>
      <c r="L463">
        <v>2</v>
      </c>
      <c r="M463">
        <v>2</v>
      </c>
      <c r="N463" t="s">
        <v>45</v>
      </c>
      <c r="O463">
        <v>385182</v>
      </c>
      <c r="U463">
        <f>Table1[[#This Row],[Interview_Date]]-Table1[[#This Row],[Application_Date]]</f>
        <v>15</v>
      </c>
      <c r="V463" t="str">
        <f>IF(OR(Table1[[#This Row],[Offer_Date]]="",Table1[[#This Row],[Interview_Date]]=""),"",Table1[[#This Row],[Offer_Date]]-Table1[[#This Row],[Interview_Date]])</f>
        <v/>
      </c>
    </row>
    <row r="464" spans="1:22" x14ac:dyDescent="0.3">
      <c r="A464" t="s">
        <v>519</v>
      </c>
      <c r="B464" t="s">
        <v>58</v>
      </c>
      <c r="C464" t="s">
        <v>69</v>
      </c>
      <c r="D464" t="s">
        <v>18</v>
      </c>
      <c r="E464">
        <v>21</v>
      </c>
      <c r="F464" t="s">
        <v>34</v>
      </c>
      <c r="G464" t="s">
        <v>20</v>
      </c>
      <c r="H464" t="s">
        <v>40</v>
      </c>
      <c r="I464" s="1">
        <v>44232</v>
      </c>
      <c r="J464" s="1">
        <v>44236</v>
      </c>
      <c r="L464">
        <v>5</v>
      </c>
      <c r="M464">
        <v>6</v>
      </c>
      <c r="N464" t="s">
        <v>28</v>
      </c>
      <c r="O464">
        <v>612992</v>
      </c>
      <c r="U464">
        <f>Table1[[#This Row],[Interview_Date]]-Table1[[#This Row],[Application_Date]]</f>
        <v>4</v>
      </c>
      <c r="V464" t="str">
        <f>IF(OR(Table1[[#This Row],[Offer_Date]]="",Table1[[#This Row],[Interview_Date]]=""),"",Table1[[#This Row],[Offer_Date]]-Table1[[#This Row],[Interview_Date]])</f>
        <v/>
      </c>
    </row>
    <row r="465" spans="1:22" x14ac:dyDescent="0.3">
      <c r="A465" t="s">
        <v>520</v>
      </c>
      <c r="B465" t="s">
        <v>33</v>
      </c>
      <c r="C465" t="s">
        <v>30</v>
      </c>
      <c r="D465" t="s">
        <v>18</v>
      </c>
      <c r="E465">
        <v>41</v>
      </c>
      <c r="F465" t="s">
        <v>39</v>
      </c>
      <c r="G465" t="s">
        <v>44</v>
      </c>
      <c r="H465" t="s">
        <v>40</v>
      </c>
      <c r="I465" s="1">
        <v>44780</v>
      </c>
      <c r="J465" s="1">
        <v>44790</v>
      </c>
      <c r="K465" s="1">
        <v>44797</v>
      </c>
      <c r="L465">
        <v>2</v>
      </c>
      <c r="M465">
        <v>3</v>
      </c>
      <c r="N465" t="s">
        <v>28</v>
      </c>
      <c r="O465">
        <v>1196832</v>
      </c>
      <c r="U465">
        <f>Table1[[#This Row],[Interview_Date]]-Table1[[#This Row],[Application_Date]]</f>
        <v>10</v>
      </c>
      <c r="V465">
        <f>IF(OR(Table1[[#This Row],[Offer_Date]]="",Table1[[#This Row],[Interview_Date]]=""),"",Table1[[#This Row],[Offer_Date]]-Table1[[#This Row],[Interview_Date]])</f>
        <v>7</v>
      </c>
    </row>
    <row r="466" spans="1:22" x14ac:dyDescent="0.3">
      <c r="A466" t="s">
        <v>521</v>
      </c>
      <c r="B466" t="s">
        <v>42</v>
      </c>
      <c r="C466" t="s">
        <v>59</v>
      </c>
      <c r="D466" t="s">
        <v>26</v>
      </c>
      <c r="E466">
        <v>34</v>
      </c>
      <c r="F466" t="s">
        <v>39</v>
      </c>
      <c r="G466" t="s">
        <v>35</v>
      </c>
      <c r="H466" t="s">
        <v>40</v>
      </c>
      <c r="I466" s="1">
        <v>44334</v>
      </c>
      <c r="J466" s="1">
        <v>44338</v>
      </c>
      <c r="K466" s="1">
        <v>44342</v>
      </c>
      <c r="L466">
        <v>4</v>
      </c>
      <c r="M466">
        <v>7</v>
      </c>
      <c r="N466" t="s">
        <v>22</v>
      </c>
      <c r="O466">
        <v>1094516</v>
      </c>
      <c r="U466">
        <f>Table1[[#This Row],[Interview_Date]]-Table1[[#This Row],[Application_Date]]</f>
        <v>4</v>
      </c>
      <c r="V466">
        <f>IF(OR(Table1[[#This Row],[Offer_Date]]="",Table1[[#This Row],[Interview_Date]]=""),"",Table1[[#This Row],[Offer_Date]]-Table1[[#This Row],[Interview_Date]])</f>
        <v>4</v>
      </c>
    </row>
    <row r="467" spans="1:22" x14ac:dyDescent="0.3">
      <c r="A467" t="s">
        <v>522</v>
      </c>
      <c r="B467" t="s">
        <v>63</v>
      </c>
      <c r="C467" t="s">
        <v>25</v>
      </c>
      <c r="D467" t="s">
        <v>26</v>
      </c>
      <c r="E467">
        <v>43</v>
      </c>
      <c r="F467" t="s">
        <v>34</v>
      </c>
      <c r="G467" t="s">
        <v>60</v>
      </c>
      <c r="H467" t="s">
        <v>54</v>
      </c>
      <c r="I467" s="1">
        <v>44877</v>
      </c>
      <c r="J467" s="1">
        <v>44882</v>
      </c>
      <c r="L467">
        <v>1</v>
      </c>
      <c r="M467">
        <v>9</v>
      </c>
      <c r="N467" t="s">
        <v>28</v>
      </c>
      <c r="O467">
        <v>325878</v>
      </c>
      <c r="U467">
        <f>Table1[[#This Row],[Interview_Date]]-Table1[[#This Row],[Application_Date]]</f>
        <v>5</v>
      </c>
      <c r="V467" t="str">
        <f>IF(OR(Table1[[#This Row],[Offer_Date]]="",Table1[[#This Row],[Interview_Date]]=""),"",Table1[[#This Row],[Offer_Date]]-Table1[[#This Row],[Interview_Date]])</f>
        <v/>
      </c>
    </row>
    <row r="468" spans="1:22" x14ac:dyDescent="0.3">
      <c r="A468" t="s">
        <v>523</v>
      </c>
      <c r="B468" t="s">
        <v>33</v>
      </c>
      <c r="C468" t="s">
        <v>50</v>
      </c>
      <c r="D468" t="s">
        <v>18</v>
      </c>
      <c r="E468">
        <v>21</v>
      </c>
      <c r="F468" t="s">
        <v>19</v>
      </c>
      <c r="G468" t="s">
        <v>35</v>
      </c>
      <c r="H468" t="s">
        <v>40</v>
      </c>
      <c r="I468" s="1">
        <v>44317</v>
      </c>
      <c r="J468" s="1">
        <v>44328</v>
      </c>
      <c r="L468">
        <v>1</v>
      </c>
      <c r="M468">
        <v>2</v>
      </c>
      <c r="N468" t="s">
        <v>22</v>
      </c>
      <c r="O468">
        <v>315524</v>
      </c>
      <c r="U468">
        <f>Table1[[#This Row],[Interview_Date]]-Table1[[#This Row],[Application_Date]]</f>
        <v>11</v>
      </c>
      <c r="V468" t="str">
        <f>IF(OR(Table1[[#This Row],[Offer_Date]]="",Table1[[#This Row],[Interview_Date]]=""),"",Table1[[#This Row],[Offer_Date]]-Table1[[#This Row],[Interview_Date]])</f>
        <v/>
      </c>
    </row>
    <row r="469" spans="1:22" x14ac:dyDescent="0.3">
      <c r="A469" t="s">
        <v>524</v>
      </c>
      <c r="B469" t="s">
        <v>72</v>
      </c>
      <c r="C469" t="s">
        <v>50</v>
      </c>
      <c r="D469" t="s">
        <v>18</v>
      </c>
      <c r="E469">
        <v>41</v>
      </c>
      <c r="F469" t="s">
        <v>31</v>
      </c>
      <c r="G469" t="s">
        <v>20</v>
      </c>
      <c r="H469" t="s">
        <v>36</v>
      </c>
      <c r="I469" s="1">
        <v>44525</v>
      </c>
      <c r="J469" s="1">
        <v>44532</v>
      </c>
      <c r="L469">
        <v>4</v>
      </c>
      <c r="M469">
        <v>2</v>
      </c>
      <c r="N469" t="s">
        <v>22</v>
      </c>
      <c r="O469">
        <v>361870</v>
      </c>
      <c r="U469">
        <f>Table1[[#This Row],[Interview_Date]]-Table1[[#This Row],[Application_Date]]</f>
        <v>7</v>
      </c>
      <c r="V469" t="str">
        <f>IF(OR(Table1[[#This Row],[Offer_Date]]="",Table1[[#This Row],[Interview_Date]]=""),"",Table1[[#This Row],[Offer_Date]]-Table1[[#This Row],[Interview_Date]])</f>
        <v/>
      </c>
    </row>
    <row r="470" spans="1:22" x14ac:dyDescent="0.3">
      <c r="A470" t="s">
        <v>525</v>
      </c>
      <c r="B470" t="s">
        <v>63</v>
      </c>
      <c r="C470" t="s">
        <v>17</v>
      </c>
      <c r="D470" t="s">
        <v>18</v>
      </c>
      <c r="E470">
        <v>35</v>
      </c>
      <c r="F470" t="s">
        <v>39</v>
      </c>
      <c r="G470" t="s">
        <v>27</v>
      </c>
      <c r="H470" t="s">
        <v>36</v>
      </c>
      <c r="I470" s="1">
        <v>44416</v>
      </c>
      <c r="J470" s="1">
        <v>44426</v>
      </c>
      <c r="K470" s="1">
        <v>44430</v>
      </c>
      <c r="L470">
        <v>5</v>
      </c>
      <c r="M470">
        <v>2</v>
      </c>
      <c r="N470" t="s">
        <v>45</v>
      </c>
      <c r="O470">
        <v>652275</v>
      </c>
      <c r="U470">
        <f>Table1[[#This Row],[Interview_Date]]-Table1[[#This Row],[Application_Date]]</f>
        <v>10</v>
      </c>
      <c r="V470">
        <f>IF(OR(Table1[[#This Row],[Offer_Date]]="",Table1[[#This Row],[Interview_Date]]=""),"",Table1[[#This Row],[Offer_Date]]-Table1[[#This Row],[Interview_Date]])</f>
        <v>4</v>
      </c>
    </row>
    <row r="471" spans="1:22" x14ac:dyDescent="0.3">
      <c r="A471" t="s">
        <v>526</v>
      </c>
      <c r="B471" t="s">
        <v>72</v>
      </c>
      <c r="C471" t="s">
        <v>94</v>
      </c>
      <c r="D471" t="s">
        <v>26</v>
      </c>
      <c r="E471">
        <v>43</v>
      </c>
      <c r="F471" t="s">
        <v>34</v>
      </c>
      <c r="G471" t="s">
        <v>27</v>
      </c>
      <c r="H471" t="s">
        <v>40</v>
      </c>
      <c r="I471" s="1">
        <v>44648</v>
      </c>
      <c r="J471" s="1">
        <v>44653</v>
      </c>
      <c r="K471" s="1">
        <v>44658</v>
      </c>
      <c r="L471">
        <v>2</v>
      </c>
      <c r="M471">
        <v>7</v>
      </c>
      <c r="N471" t="s">
        <v>22</v>
      </c>
      <c r="O471">
        <v>1031747</v>
      </c>
      <c r="U471">
        <f>Table1[[#This Row],[Interview_Date]]-Table1[[#This Row],[Application_Date]]</f>
        <v>5</v>
      </c>
      <c r="V471">
        <f>IF(OR(Table1[[#This Row],[Offer_Date]]="",Table1[[#This Row],[Interview_Date]]=""),"",Table1[[#This Row],[Offer_Date]]-Table1[[#This Row],[Interview_Date]])</f>
        <v>5</v>
      </c>
    </row>
    <row r="472" spans="1:22" x14ac:dyDescent="0.3">
      <c r="A472" t="s">
        <v>527</v>
      </c>
      <c r="B472" t="s">
        <v>58</v>
      </c>
      <c r="C472" t="s">
        <v>25</v>
      </c>
      <c r="D472" t="s">
        <v>26</v>
      </c>
      <c r="E472">
        <v>29</v>
      </c>
      <c r="F472" t="s">
        <v>31</v>
      </c>
      <c r="G472" t="s">
        <v>20</v>
      </c>
      <c r="H472" t="s">
        <v>40</v>
      </c>
      <c r="I472" s="1">
        <v>44214</v>
      </c>
      <c r="J472" s="1">
        <v>44220</v>
      </c>
      <c r="K472" s="1">
        <v>44225</v>
      </c>
      <c r="L472">
        <v>4</v>
      </c>
      <c r="M472">
        <v>4</v>
      </c>
      <c r="N472" t="s">
        <v>48</v>
      </c>
      <c r="O472">
        <v>1108385</v>
      </c>
      <c r="U472">
        <f>Table1[[#This Row],[Interview_Date]]-Table1[[#This Row],[Application_Date]]</f>
        <v>6</v>
      </c>
      <c r="V472">
        <f>IF(OR(Table1[[#This Row],[Offer_Date]]="",Table1[[#This Row],[Interview_Date]]=""),"",Table1[[#This Row],[Offer_Date]]-Table1[[#This Row],[Interview_Date]])</f>
        <v>5</v>
      </c>
    </row>
    <row r="473" spans="1:22" x14ac:dyDescent="0.3">
      <c r="A473" t="s">
        <v>528</v>
      </c>
      <c r="B473" t="s">
        <v>33</v>
      </c>
      <c r="C473" t="s">
        <v>30</v>
      </c>
      <c r="D473" t="s">
        <v>18</v>
      </c>
      <c r="E473">
        <v>32</v>
      </c>
      <c r="F473" t="s">
        <v>39</v>
      </c>
      <c r="G473" t="s">
        <v>60</v>
      </c>
      <c r="H473" t="s">
        <v>40</v>
      </c>
      <c r="I473" s="1">
        <v>44767</v>
      </c>
      <c r="J473" s="1">
        <v>44781</v>
      </c>
      <c r="K473" s="1">
        <v>44784</v>
      </c>
      <c r="L473">
        <v>1</v>
      </c>
      <c r="M473">
        <v>5</v>
      </c>
      <c r="N473" t="s">
        <v>28</v>
      </c>
      <c r="O473">
        <v>324117</v>
      </c>
      <c r="U473">
        <f>Table1[[#This Row],[Interview_Date]]-Table1[[#This Row],[Application_Date]]</f>
        <v>14</v>
      </c>
      <c r="V473">
        <f>IF(OR(Table1[[#This Row],[Offer_Date]]="",Table1[[#This Row],[Interview_Date]]=""),"",Table1[[#This Row],[Offer_Date]]-Table1[[#This Row],[Interview_Date]])</f>
        <v>3</v>
      </c>
    </row>
    <row r="474" spans="1:22" x14ac:dyDescent="0.3">
      <c r="A474" t="s">
        <v>529</v>
      </c>
      <c r="B474" t="s">
        <v>24</v>
      </c>
      <c r="C474" t="s">
        <v>17</v>
      </c>
      <c r="D474" t="s">
        <v>26</v>
      </c>
      <c r="E474">
        <v>28</v>
      </c>
      <c r="F474" t="s">
        <v>56</v>
      </c>
      <c r="G474" t="s">
        <v>60</v>
      </c>
      <c r="H474" t="s">
        <v>54</v>
      </c>
      <c r="I474" s="1">
        <v>44519</v>
      </c>
      <c r="J474" s="1">
        <v>44528</v>
      </c>
      <c r="L474">
        <v>1</v>
      </c>
      <c r="M474">
        <v>2</v>
      </c>
      <c r="N474" t="s">
        <v>48</v>
      </c>
      <c r="O474">
        <v>899531</v>
      </c>
      <c r="U474">
        <f>Table1[[#This Row],[Interview_Date]]-Table1[[#This Row],[Application_Date]]</f>
        <v>9</v>
      </c>
      <c r="V474" t="str">
        <f>IF(OR(Table1[[#This Row],[Offer_Date]]="",Table1[[#This Row],[Interview_Date]]=""),"",Table1[[#This Row],[Offer_Date]]-Table1[[#This Row],[Interview_Date]])</f>
        <v/>
      </c>
    </row>
    <row r="475" spans="1:22" x14ac:dyDescent="0.3">
      <c r="A475" t="s">
        <v>530</v>
      </c>
      <c r="B475" t="s">
        <v>72</v>
      </c>
      <c r="C475" t="s">
        <v>94</v>
      </c>
      <c r="D475" t="s">
        <v>26</v>
      </c>
      <c r="E475">
        <v>34</v>
      </c>
      <c r="F475" t="s">
        <v>39</v>
      </c>
      <c r="G475" t="s">
        <v>35</v>
      </c>
      <c r="H475" t="s">
        <v>21</v>
      </c>
      <c r="I475" s="1">
        <v>45295</v>
      </c>
      <c r="J475" s="1">
        <v>45301</v>
      </c>
      <c r="L475">
        <v>4</v>
      </c>
      <c r="M475">
        <v>10</v>
      </c>
      <c r="N475" t="s">
        <v>28</v>
      </c>
      <c r="O475">
        <v>606114</v>
      </c>
      <c r="U475">
        <f>Table1[[#This Row],[Interview_Date]]-Table1[[#This Row],[Application_Date]]</f>
        <v>6</v>
      </c>
      <c r="V475" t="str">
        <f>IF(OR(Table1[[#This Row],[Offer_Date]]="",Table1[[#This Row],[Interview_Date]]=""),"",Table1[[#This Row],[Offer_Date]]-Table1[[#This Row],[Interview_Date]])</f>
        <v/>
      </c>
    </row>
    <row r="476" spans="1:22" x14ac:dyDescent="0.3">
      <c r="A476" t="s">
        <v>531</v>
      </c>
      <c r="B476" t="s">
        <v>38</v>
      </c>
      <c r="C476" t="s">
        <v>25</v>
      </c>
      <c r="D476" t="s">
        <v>18</v>
      </c>
      <c r="E476">
        <v>32</v>
      </c>
      <c r="F476" t="s">
        <v>31</v>
      </c>
      <c r="G476" t="s">
        <v>35</v>
      </c>
      <c r="H476" t="s">
        <v>40</v>
      </c>
      <c r="I476" s="1">
        <v>44840</v>
      </c>
      <c r="J476" s="1">
        <v>44844</v>
      </c>
      <c r="L476">
        <v>4</v>
      </c>
      <c r="M476">
        <v>4</v>
      </c>
      <c r="N476" t="s">
        <v>28</v>
      </c>
      <c r="O476">
        <v>904724</v>
      </c>
      <c r="U476">
        <f>Table1[[#This Row],[Interview_Date]]-Table1[[#This Row],[Application_Date]]</f>
        <v>4</v>
      </c>
      <c r="V476" t="str">
        <f>IF(OR(Table1[[#This Row],[Offer_Date]]="",Table1[[#This Row],[Interview_Date]]=""),"",Table1[[#This Row],[Offer_Date]]-Table1[[#This Row],[Interview_Date]])</f>
        <v/>
      </c>
    </row>
    <row r="477" spans="1:22" x14ac:dyDescent="0.3">
      <c r="A477" t="s">
        <v>532</v>
      </c>
      <c r="B477" t="s">
        <v>16</v>
      </c>
      <c r="C477" t="s">
        <v>69</v>
      </c>
      <c r="D477" t="s">
        <v>18</v>
      </c>
      <c r="E477">
        <v>41</v>
      </c>
      <c r="F477" t="s">
        <v>19</v>
      </c>
      <c r="G477" t="s">
        <v>60</v>
      </c>
      <c r="H477" t="s">
        <v>36</v>
      </c>
      <c r="I477" s="1">
        <v>44213</v>
      </c>
      <c r="J477" s="1">
        <v>44216</v>
      </c>
      <c r="K477" s="1">
        <v>44219</v>
      </c>
      <c r="L477">
        <v>1</v>
      </c>
      <c r="M477">
        <v>4</v>
      </c>
      <c r="N477" t="s">
        <v>22</v>
      </c>
      <c r="O477">
        <v>901035</v>
      </c>
      <c r="U477">
        <f>Table1[[#This Row],[Interview_Date]]-Table1[[#This Row],[Application_Date]]</f>
        <v>3</v>
      </c>
      <c r="V477">
        <f>IF(OR(Table1[[#This Row],[Offer_Date]]="",Table1[[#This Row],[Interview_Date]]=""),"",Table1[[#This Row],[Offer_Date]]-Table1[[#This Row],[Interview_Date]])</f>
        <v>3</v>
      </c>
    </row>
    <row r="478" spans="1:22" x14ac:dyDescent="0.3">
      <c r="A478" t="s">
        <v>533</v>
      </c>
      <c r="B478" t="s">
        <v>16</v>
      </c>
      <c r="C478" t="s">
        <v>69</v>
      </c>
      <c r="D478" t="s">
        <v>18</v>
      </c>
      <c r="E478">
        <v>36</v>
      </c>
      <c r="F478" t="s">
        <v>31</v>
      </c>
      <c r="G478" t="s">
        <v>20</v>
      </c>
      <c r="H478" t="s">
        <v>54</v>
      </c>
      <c r="I478" s="1">
        <v>44292</v>
      </c>
      <c r="J478" s="1">
        <v>44307</v>
      </c>
      <c r="K478" s="1">
        <v>44310</v>
      </c>
      <c r="L478">
        <v>1</v>
      </c>
      <c r="M478">
        <v>8</v>
      </c>
      <c r="N478" t="s">
        <v>48</v>
      </c>
      <c r="O478">
        <v>1002607</v>
      </c>
      <c r="U478">
        <f>Table1[[#This Row],[Interview_Date]]-Table1[[#This Row],[Application_Date]]</f>
        <v>15</v>
      </c>
      <c r="V478">
        <f>IF(OR(Table1[[#This Row],[Offer_Date]]="",Table1[[#This Row],[Interview_Date]]=""),"",Table1[[#This Row],[Offer_Date]]-Table1[[#This Row],[Interview_Date]])</f>
        <v>3</v>
      </c>
    </row>
    <row r="479" spans="1:22" x14ac:dyDescent="0.3">
      <c r="A479" t="s">
        <v>534</v>
      </c>
      <c r="B479" t="s">
        <v>72</v>
      </c>
      <c r="C479" t="s">
        <v>43</v>
      </c>
      <c r="D479" t="s">
        <v>18</v>
      </c>
      <c r="E479">
        <v>40</v>
      </c>
      <c r="F479" t="s">
        <v>74</v>
      </c>
      <c r="G479" t="s">
        <v>35</v>
      </c>
      <c r="H479" t="s">
        <v>21</v>
      </c>
      <c r="I479" s="1">
        <v>44741</v>
      </c>
      <c r="J479" s="1">
        <v>44746</v>
      </c>
      <c r="K479" s="1">
        <v>44751</v>
      </c>
      <c r="L479">
        <v>5</v>
      </c>
      <c r="M479">
        <v>8</v>
      </c>
      <c r="N479" t="s">
        <v>45</v>
      </c>
      <c r="O479">
        <v>365886</v>
      </c>
      <c r="U479">
        <f>Table1[[#This Row],[Interview_Date]]-Table1[[#This Row],[Application_Date]]</f>
        <v>5</v>
      </c>
      <c r="V479">
        <f>IF(OR(Table1[[#This Row],[Offer_Date]]="",Table1[[#This Row],[Interview_Date]]=""),"",Table1[[#This Row],[Offer_Date]]-Table1[[#This Row],[Interview_Date]])</f>
        <v>5</v>
      </c>
    </row>
    <row r="480" spans="1:22" x14ac:dyDescent="0.3">
      <c r="A480" t="s">
        <v>535</v>
      </c>
      <c r="B480" t="s">
        <v>65</v>
      </c>
      <c r="C480" t="s">
        <v>30</v>
      </c>
      <c r="D480" t="s">
        <v>26</v>
      </c>
      <c r="E480">
        <v>41</v>
      </c>
      <c r="F480" t="s">
        <v>74</v>
      </c>
      <c r="G480" t="s">
        <v>44</v>
      </c>
      <c r="H480" t="s">
        <v>54</v>
      </c>
      <c r="I480" s="1">
        <v>44981</v>
      </c>
      <c r="J480" s="1">
        <v>44985</v>
      </c>
      <c r="K480" s="1">
        <v>44988</v>
      </c>
      <c r="L480">
        <v>3</v>
      </c>
      <c r="M480">
        <v>2</v>
      </c>
      <c r="N480" t="s">
        <v>22</v>
      </c>
      <c r="O480">
        <v>929484</v>
      </c>
      <c r="U480">
        <f>Table1[[#This Row],[Interview_Date]]-Table1[[#This Row],[Application_Date]]</f>
        <v>4</v>
      </c>
      <c r="V480">
        <f>IF(OR(Table1[[#This Row],[Offer_Date]]="",Table1[[#This Row],[Interview_Date]]=""),"",Table1[[#This Row],[Offer_Date]]-Table1[[#This Row],[Interview_Date]])</f>
        <v>3</v>
      </c>
    </row>
    <row r="481" spans="1:22" x14ac:dyDescent="0.3">
      <c r="A481" t="s">
        <v>536</v>
      </c>
      <c r="B481" t="s">
        <v>16</v>
      </c>
      <c r="C481" t="s">
        <v>69</v>
      </c>
      <c r="D481" t="s">
        <v>18</v>
      </c>
      <c r="E481">
        <v>30</v>
      </c>
      <c r="F481" t="s">
        <v>34</v>
      </c>
      <c r="G481" t="s">
        <v>35</v>
      </c>
      <c r="H481" t="s">
        <v>40</v>
      </c>
      <c r="I481" s="1">
        <v>44765</v>
      </c>
      <c r="J481" s="1">
        <v>44768</v>
      </c>
      <c r="L481">
        <v>4</v>
      </c>
      <c r="M481">
        <v>4</v>
      </c>
      <c r="N481" t="s">
        <v>45</v>
      </c>
      <c r="O481">
        <v>1093970</v>
      </c>
      <c r="U481">
        <f>Table1[[#This Row],[Interview_Date]]-Table1[[#This Row],[Application_Date]]</f>
        <v>3</v>
      </c>
      <c r="V481" t="str">
        <f>IF(OR(Table1[[#This Row],[Offer_Date]]="",Table1[[#This Row],[Interview_Date]]=""),"",Table1[[#This Row],[Offer_Date]]-Table1[[#This Row],[Interview_Date]])</f>
        <v/>
      </c>
    </row>
    <row r="482" spans="1:22" x14ac:dyDescent="0.3">
      <c r="A482" t="s">
        <v>537</v>
      </c>
      <c r="B482" t="s">
        <v>58</v>
      </c>
      <c r="C482" t="s">
        <v>69</v>
      </c>
      <c r="D482" t="s">
        <v>18</v>
      </c>
      <c r="E482">
        <v>38</v>
      </c>
      <c r="F482" t="s">
        <v>56</v>
      </c>
      <c r="G482" t="s">
        <v>35</v>
      </c>
      <c r="H482" t="s">
        <v>36</v>
      </c>
      <c r="I482" s="1">
        <v>45216</v>
      </c>
      <c r="J482" s="1">
        <v>45219</v>
      </c>
      <c r="K482" s="1">
        <v>45225</v>
      </c>
      <c r="L482">
        <v>5</v>
      </c>
      <c r="M482">
        <v>5</v>
      </c>
      <c r="N482" t="s">
        <v>48</v>
      </c>
      <c r="O482">
        <v>560678</v>
      </c>
      <c r="U482">
        <f>Table1[[#This Row],[Interview_Date]]-Table1[[#This Row],[Application_Date]]</f>
        <v>3</v>
      </c>
      <c r="V482">
        <f>IF(OR(Table1[[#This Row],[Offer_Date]]="",Table1[[#This Row],[Interview_Date]]=""),"",Table1[[#This Row],[Offer_Date]]-Table1[[#This Row],[Interview_Date]])</f>
        <v>6</v>
      </c>
    </row>
    <row r="483" spans="1:22" x14ac:dyDescent="0.3">
      <c r="A483" t="s">
        <v>538</v>
      </c>
      <c r="B483" t="s">
        <v>38</v>
      </c>
      <c r="C483" t="s">
        <v>43</v>
      </c>
      <c r="D483" t="s">
        <v>26</v>
      </c>
      <c r="E483">
        <v>45</v>
      </c>
      <c r="F483" t="s">
        <v>34</v>
      </c>
      <c r="G483" t="s">
        <v>60</v>
      </c>
      <c r="H483" t="s">
        <v>54</v>
      </c>
      <c r="I483" s="1">
        <v>44558</v>
      </c>
      <c r="J483" s="1">
        <v>44566</v>
      </c>
      <c r="K483" s="1">
        <v>44570</v>
      </c>
      <c r="L483">
        <v>2</v>
      </c>
      <c r="M483">
        <v>6</v>
      </c>
      <c r="N483" t="s">
        <v>22</v>
      </c>
      <c r="O483">
        <v>408091</v>
      </c>
      <c r="U483">
        <f>Table1[[#This Row],[Interview_Date]]-Table1[[#This Row],[Application_Date]]</f>
        <v>8</v>
      </c>
      <c r="V483">
        <f>IF(OR(Table1[[#This Row],[Offer_Date]]="",Table1[[#This Row],[Interview_Date]]=""),"",Table1[[#This Row],[Offer_Date]]-Table1[[#This Row],[Interview_Date]])</f>
        <v>4</v>
      </c>
    </row>
    <row r="484" spans="1:22" x14ac:dyDescent="0.3">
      <c r="A484" t="s">
        <v>539</v>
      </c>
      <c r="B484" t="s">
        <v>33</v>
      </c>
      <c r="C484" t="s">
        <v>94</v>
      </c>
      <c r="D484" t="s">
        <v>26</v>
      </c>
      <c r="E484">
        <v>45</v>
      </c>
      <c r="F484" t="s">
        <v>39</v>
      </c>
      <c r="G484" t="s">
        <v>27</v>
      </c>
      <c r="H484" t="s">
        <v>51</v>
      </c>
      <c r="I484" s="1">
        <v>44692</v>
      </c>
      <c r="J484" s="1">
        <v>44695</v>
      </c>
      <c r="L484">
        <v>3</v>
      </c>
      <c r="M484">
        <v>7</v>
      </c>
      <c r="N484" t="s">
        <v>28</v>
      </c>
      <c r="O484">
        <v>520499</v>
      </c>
      <c r="U484">
        <f>Table1[[#This Row],[Interview_Date]]-Table1[[#This Row],[Application_Date]]</f>
        <v>3</v>
      </c>
      <c r="V484" t="str">
        <f>IF(OR(Table1[[#This Row],[Offer_Date]]="",Table1[[#This Row],[Interview_Date]]=""),"",Table1[[#This Row],[Offer_Date]]-Table1[[#This Row],[Interview_Date]])</f>
        <v/>
      </c>
    </row>
    <row r="485" spans="1:22" x14ac:dyDescent="0.3">
      <c r="A485" t="s">
        <v>540</v>
      </c>
      <c r="B485" t="s">
        <v>16</v>
      </c>
      <c r="C485" t="s">
        <v>69</v>
      </c>
      <c r="D485" t="s">
        <v>18</v>
      </c>
      <c r="E485">
        <v>44</v>
      </c>
      <c r="F485" t="s">
        <v>34</v>
      </c>
      <c r="G485" t="s">
        <v>35</v>
      </c>
      <c r="H485" t="s">
        <v>21</v>
      </c>
      <c r="I485" s="1">
        <v>44415</v>
      </c>
      <c r="J485" s="1">
        <v>44421</v>
      </c>
      <c r="K485" s="1">
        <v>44426</v>
      </c>
      <c r="L485">
        <v>1</v>
      </c>
      <c r="M485">
        <v>5</v>
      </c>
      <c r="N485" t="s">
        <v>22</v>
      </c>
      <c r="O485">
        <v>301350</v>
      </c>
      <c r="U485">
        <f>Table1[[#This Row],[Interview_Date]]-Table1[[#This Row],[Application_Date]]</f>
        <v>6</v>
      </c>
      <c r="V485">
        <f>IF(OR(Table1[[#This Row],[Offer_Date]]="",Table1[[#This Row],[Interview_Date]]=""),"",Table1[[#This Row],[Offer_Date]]-Table1[[#This Row],[Interview_Date]])</f>
        <v>5</v>
      </c>
    </row>
    <row r="486" spans="1:22" x14ac:dyDescent="0.3">
      <c r="A486" t="s">
        <v>541</v>
      </c>
      <c r="B486" t="s">
        <v>33</v>
      </c>
      <c r="C486" t="s">
        <v>94</v>
      </c>
      <c r="D486" t="s">
        <v>26</v>
      </c>
      <c r="E486">
        <v>34</v>
      </c>
      <c r="F486" t="s">
        <v>39</v>
      </c>
      <c r="G486" t="s">
        <v>20</v>
      </c>
      <c r="H486" t="s">
        <v>21</v>
      </c>
      <c r="I486" s="1">
        <v>44791</v>
      </c>
      <c r="J486" s="1">
        <v>44796</v>
      </c>
      <c r="K486" s="1">
        <v>44800</v>
      </c>
      <c r="L486">
        <v>5</v>
      </c>
      <c r="M486">
        <v>3</v>
      </c>
      <c r="N486" t="s">
        <v>28</v>
      </c>
      <c r="O486">
        <v>1193056</v>
      </c>
      <c r="U486">
        <f>Table1[[#This Row],[Interview_Date]]-Table1[[#This Row],[Application_Date]]</f>
        <v>5</v>
      </c>
      <c r="V486">
        <f>IF(OR(Table1[[#This Row],[Offer_Date]]="",Table1[[#This Row],[Interview_Date]]=""),"",Table1[[#This Row],[Offer_Date]]-Table1[[#This Row],[Interview_Date]])</f>
        <v>4</v>
      </c>
    </row>
    <row r="487" spans="1:22" x14ac:dyDescent="0.3">
      <c r="A487" t="s">
        <v>542</v>
      </c>
      <c r="B487" t="s">
        <v>16</v>
      </c>
      <c r="C487" t="s">
        <v>43</v>
      </c>
      <c r="D487" t="s">
        <v>26</v>
      </c>
      <c r="E487">
        <v>38</v>
      </c>
      <c r="F487" t="s">
        <v>31</v>
      </c>
      <c r="G487" t="s">
        <v>44</v>
      </c>
      <c r="H487" t="s">
        <v>40</v>
      </c>
      <c r="I487" s="1">
        <v>45234</v>
      </c>
      <c r="J487" s="1">
        <v>45242</v>
      </c>
      <c r="K487" s="1">
        <v>45249</v>
      </c>
      <c r="L487">
        <v>3</v>
      </c>
      <c r="M487">
        <v>8</v>
      </c>
      <c r="N487" t="s">
        <v>28</v>
      </c>
      <c r="O487">
        <v>1033465</v>
      </c>
      <c r="U487">
        <f>Table1[[#This Row],[Interview_Date]]-Table1[[#This Row],[Application_Date]]</f>
        <v>8</v>
      </c>
      <c r="V487">
        <f>IF(OR(Table1[[#This Row],[Offer_Date]]="",Table1[[#This Row],[Interview_Date]]=""),"",Table1[[#This Row],[Offer_Date]]-Table1[[#This Row],[Interview_Date]])</f>
        <v>7</v>
      </c>
    </row>
    <row r="488" spans="1:22" x14ac:dyDescent="0.3">
      <c r="A488" t="s">
        <v>543</v>
      </c>
      <c r="B488" t="s">
        <v>33</v>
      </c>
      <c r="C488" t="s">
        <v>50</v>
      </c>
      <c r="D488" t="s">
        <v>18</v>
      </c>
      <c r="E488">
        <v>24</v>
      </c>
      <c r="F488" t="s">
        <v>31</v>
      </c>
      <c r="G488" t="s">
        <v>44</v>
      </c>
      <c r="H488" t="s">
        <v>40</v>
      </c>
      <c r="I488" s="1">
        <v>45008</v>
      </c>
      <c r="J488" s="1">
        <v>45023</v>
      </c>
      <c r="L488">
        <v>2</v>
      </c>
      <c r="M488">
        <v>10</v>
      </c>
      <c r="N488" t="s">
        <v>28</v>
      </c>
      <c r="O488">
        <v>1014246</v>
      </c>
      <c r="U488">
        <f>Table1[[#This Row],[Interview_Date]]-Table1[[#This Row],[Application_Date]]</f>
        <v>15</v>
      </c>
      <c r="V488" t="str">
        <f>IF(OR(Table1[[#This Row],[Offer_Date]]="",Table1[[#This Row],[Interview_Date]]=""),"",Table1[[#This Row],[Offer_Date]]-Table1[[#This Row],[Interview_Date]])</f>
        <v/>
      </c>
    </row>
    <row r="489" spans="1:22" x14ac:dyDescent="0.3">
      <c r="A489" t="s">
        <v>544</v>
      </c>
      <c r="B489" t="s">
        <v>65</v>
      </c>
      <c r="C489" t="s">
        <v>94</v>
      </c>
      <c r="D489" t="s">
        <v>26</v>
      </c>
      <c r="E489">
        <v>43</v>
      </c>
      <c r="F489" t="s">
        <v>39</v>
      </c>
      <c r="G489" t="s">
        <v>35</v>
      </c>
      <c r="H489" t="s">
        <v>51</v>
      </c>
      <c r="I489" s="1">
        <v>44301</v>
      </c>
      <c r="J489" s="1">
        <v>44316</v>
      </c>
      <c r="K489" s="1">
        <v>44322</v>
      </c>
      <c r="L489">
        <v>3</v>
      </c>
      <c r="M489">
        <v>7</v>
      </c>
      <c r="N489" t="s">
        <v>28</v>
      </c>
      <c r="O489">
        <v>354436</v>
      </c>
      <c r="U489">
        <f>Table1[[#This Row],[Interview_Date]]-Table1[[#This Row],[Application_Date]]</f>
        <v>15</v>
      </c>
      <c r="V489">
        <f>IF(OR(Table1[[#This Row],[Offer_Date]]="",Table1[[#This Row],[Interview_Date]]=""),"",Table1[[#This Row],[Offer_Date]]-Table1[[#This Row],[Interview_Date]])</f>
        <v>6</v>
      </c>
    </row>
    <row r="490" spans="1:22" x14ac:dyDescent="0.3">
      <c r="A490" t="s">
        <v>545</v>
      </c>
      <c r="B490" t="s">
        <v>33</v>
      </c>
      <c r="C490" t="s">
        <v>69</v>
      </c>
      <c r="D490" t="s">
        <v>18</v>
      </c>
      <c r="E490">
        <v>28</v>
      </c>
      <c r="F490" t="s">
        <v>19</v>
      </c>
      <c r="G490" t="s">
        <v>35</v>
      </c>
      <c r="H490" t="s">
        <v>21</v>
      </c>
      <c r="I490" s="1">
        <v>44559</v>
      </c>
      <c r="J490" s="1">
        <v>44568</v>
      </c>
      <c r="L490">
        <v>5</v>
      </c>
      <c r="M490">
        <v>4</v>
      </c>
      <c r="N490" t="s">
        <v>22</v>
      </c>
      <c r="O490">
        <v>387964</v>
      </c>
      <c r="U490">
        <f>Table1[[#This Row],[Interview_Date]]-Table1[[#This Row],[Application_Date]]</f>
        <v>9</v>
      </c>
      <c r="V490" t="str">
        <f>IF(OR(Table1[[#This Row],[Offer_Date]]="",Table1[[#This Row],[Interview_Date]]=""),"",Table1[[#This Row],[Offer_Date]]-Table1[[#This Row],[Interview_Date]])</f>
        <v/>
      </c>
    </row>
    <row r="491" spans="1:22" x14ac:dyDescent="0.3">
      <c r="A491" t="s">
        <v>546</v>
      </c>
      <c r="B491" t="s">
        <v>16</v>
      </c>
      <c r="C491" t="s">
        <v>30</v>
      </c>
      <c r="D491" t="s">
        <v>18</v>
      </c>
      <c r="E491">
        <v>25</v>
      </c>
      <c r="F491" t="s">
        <v>39</v>
      </c>
      <c r="G491" t="s">
        <v>44</v>
      </c>
      <c r="H491" t="s">
        <v>54</v>
      </c>
      <c r="I491" s="1">
        <v>45076</v>
      </c>
      <c r="J491" s="1">
        <v>45081</v>
      </c>
      <c r="L491">
        <v>2</v>
      </c>
      <c r="M491">
        <v>10</v>
      </c>
      <c r="N491" t="s">
        <v>48</v>
      </c>
      <c r="O491">
        <v>1063975</v>
      </c>
      <c r="U491">
        <f>Table1[[#This Row],[Interview_Date]]-Table1[[#This Row],[Application_Date]]</f>
        <v>5</v>
      </c>
      <c r="V491" t="str">
        <f>IF(OR(Table1[[#This Row],[Offer_Date]]="",Table1[[#This Row],[Interview_Date]]=""),"",Table1[[#This Row],[Offer_Date]]-Table1[[#This Row],[Interview_Date]])</f>
        <v/>
      </c>
    </row>
    <row r="492" spans="1:22" x14ac:dyDescent="0.3">
      <c r="A492" t="s">
        <v>547</v>
      </c>
      <c r="B492" t="s">
        <v>38</v>
      </c>
      <c r="C492" t="s">
        <v>25</v>
      </c>
      <c r="D492" t="s">
        <v>26</v>
      </c>
      <c r="E492">
        <v>34</v>
      </c>
      <c r="F492" t="s">
        <v>74</v>
      </c>
      <c r="G492" t="s">
        <v>35</v>
      </c>
      <c r="H492" t="s">
        <v>40</v>
      </c>
      <c r="I492" s="1">
        <v>44478</v>
      </c>
      <c r="J492" s="1">
        <v>44490</v>
      </c>
      <c r="L492">
        <v>1</v>
      </c>
      <c r="M492">
        <v>8</v>
      </c>
      <c r="N492" t="s">
        <v>28</v>
      </c>
      <c r="O492">
        <v>610556</v>
      </c>
      <c r="U492">
        <f>Table1[[#This Row],[Interview_Date]]-Table1[[#This Row],[Application_Date]]</f>
        <v>12</v>
      </c>
      <c r="V492" t="str">
        <f>IF(OR(Table1[[#This Row],[Offer_Date]]="",Table1[[#This Row],[Interview_Date]]=""),"",Table1[[#This Row],[Offer_Date]]-Table1[[#This Row],[Interview_Date]])</f>
        <v/>
      </c>
    </row>
    <row r="493" spans="1:22" x14ac:dyDescent="0.3">
      <c r="A493" t="s">
        <v>548</v>
      </c>
      <c r="B493" t="s">
        <v>65</v>
      </c>
      <c r="C493" t="s">
        <v>17</v>
      </c>
      <c r="D493" t="s">
        <v>26</v>
      </c>
      <c r="E493">
        <v>36</v>
      </c>
      <c r="F493" t="s">
        <v>31</v>
      </c>
      <c r="G493" t="s">
        <v>60</v>
      </c>
      <c r="H493" t="s">
        <v>40</v>
      </c>
      <c r="I493" s="1">
        <v>44354</v>
      </c>
      <c r="J493" s="1">
        <v>44359</v>
      </c>
      <c r="L493">
        <v>1</v>
      </c>
      <c r="M493">
        <v>7</v>
      </c>
      <c r="N493" t="s">
        <v>48</v>
      </c>
      <c r="O493">
        <v>1052282</v>
      </c>
      <c r="U493">
        <f>Table1[[#This Row],[Interview_Date]]-Table1[[#This Row],[Application_Date]]</f>
        <v>5</v>
      </c>
      <c r="V493" t="str">
        <f>IF(OR(Table1[[#This Row],[Offer_Date]]="",Table1[[#This Row],[Interview_Date]]=""),"",Table1[[#This Row],[Offer_Date]]-Table1[[#This Row],[Interview_Date]])</f>
        <v/>
      </c>
    </row>
    <row r="494" spans="1:22" x14ac:dyDescent="0.3">
      <c r="A494" t="s">
        <v>549</v>
      </c>
      <c r="B494" t="s">
        <v>24</v>
      </c>
      <c r="C494" t="s">
        <v>69</v>
      </c>
      <c r="D494" t="s">
        <v>18</v>
      </c>
      <c r="E494">
        <v>37</v>
      </c>
      <c r="F494" t="s">
        <v>19</v>
      </c>
      <c r="G494" t="s">
        <v>35</v>
      </c>
      <c r="H494" t="s">
        <v>40</v>
      </c>
      <c r="I494" s="1">
        <v>44509</v>
      </c>
      <c r="J494" s="1">
        <v>44517</v>
      </c>
      <c r="K494" s="1">
        <v>44519</v>
      </c>
      <c r="L494">
        <v>2</v>
      </c>
      <c r="M494">
        <v>10</v>
      </c>
      <c r="N494" t="s">
        <v>28</v>
      </c>
      <c r="O494">
        <v>466024</v>
      </c>
      <c r="U494">
        <f>Table1[[#This Row],[Interview_Date]]-Table1[[#This Row],[Application_Date]]</f>
        <v>8</v>
      </c>
      <c r="V494">
        <f>IF(OR(Table1[[#This Row],[Offer_Date]]="",Table1[[#This Row],[Interview_Date]]=""),"",Table1[[#This Row],[Offer_Date]]-Table1[[#This Row],[Interview_Date]])</f>
        <v>2</v>
      </c>
    </row>
    <row r="495" spans="1:22" x14ac:dyDescent="0.3">
      <c r="A495" t="s">
        <v>550</v>
      </c>
      <c r="B495" t="s">
        <v>58</v>
      </c>
      <c r="C495" t="s">
        <v>69</v>
      </c>
      <c r="D495" t="s">
        <v>18</v>
      </c>
      <c r="E495">
        <v>36</v>
      </c>
      <c r="F495" t="s">
        <v>39</v>
      </c>
      <c r="G495" t="s">
        <v>44</v>
      </c>
      <c r="H495" t="s">
        <v>40</v>
      </c>
      <c r="I495" s="1">
        <v>45377</v>
      </c>
      <c r="J495" s="1">
        <v>45389</v>
      </c>
      <c r="K495" s="1">
        <v>45396</v>
      </c>
      <c r="L495">
        <v>1</v>
      </c>
      <c r="M495">
        <v>5</v>
      </c>
      <c r="N495" t="s">
        <v>48</v>
      </c>
      <c r="O495">
        <v>625355</v>
      </c>
      <c r="U495">
        <f>Table1[[#This Row],[Interview_Date]]-Table1[[#This Row],[Application_Date]]</f>
        <v>12</v>
      </c>
      <c r="V495">
        <f>IF(OR(Table1[[#This Row],[Offer_Date]]="",Table1[[#This Row],[Interview_Date]]=""),"",Table1[[#This Row],[Offer_Date]]-Table1[[#This Row],[Interview_Date]])</f>
        <v>7</v>
      </c>
    </row>
    <row r="496" spans="1:22" x14ac:dyDescent="0.3">
      <c r="A496" t="s">
        <v>551</v>
      </c>
      <c r="B496" t="s">
        <v>38</v>
      </c>
      <c r="C496" t="s">
        <v>30</v>
      </c>
      <c r="D496" t="s">
        <v>18</v>
      </c>
      <c r="E496">
        <v>33</v>
      </c>
      <c r="F496" t="s">
        <v>31</v>
      </c>
      <c r="G496" t="s">
        <v>27</v>
      </c>
      <c r="H496" t="s">
        <v>51</v>
      </c>
      <c r="I496" s="1">
        <v>45327</v>
      </c>
      <c r="J496" s="1">
        <v>45331</v>
      </c>
      <c r="K496" s="1">
        <v>45336</v>
      </c>
      <c r="L496">
        <v>1</v>
      </c>
      <c r="M496">
        <v>5</v>
      </c>
      <c r="N496" t="s">
        <v>45</v>
      </c>
      <c r="O496">
        <v>434786</v>
      </c>
      <c r="U496">
        <f>Table1[[#This Row],[Interview_Date]]-Table1[[#This Row],[Application_Date]]</f>
        <v>4</v>
      </c>
      <c r="V496">
        <f>IF(OR(Table1[[#This Row],[Offer_Date]]="",Table1[[#This Row],[Interview_Date]]=""),"",Table1[[#This Row],[Offer_Date]]-Table1[[#This Row],[Interview_Date]])</f>
        <v>5</v>
      </c>
    </row>
    <row r="497" spans="1:22" x14ac:dyDescent="0.3">
      <c r="A497" t="s">
        <v>552</v>
      </c>
      <c r="B497" t="s">
        <v>47</v>
      </c>
      <c r="C497" t="s">
        <v>53</v>
      </c>
      <c r="D497" t="s">
        <v>26</v>
      </c>
      <c r="E497">
        <v>23</v>
      </c>
      <c r="F497" t="s">
        <v>39</v>
      </c>
      <c r="G497" t="s">
        <v>27</v>
      </c>
      <c r="H497" t="s">
        <v>21</v>
      </c>
      <c r="I497" s="1">
        <v>44915</v>
      </c>
      <c r="J497" s="1">
        <v>44921</v>
      </c>
      <c r="L497">
        <v>3</v>
      </c>
      <c r="M497">
        <v>5</v>
      </c>
      <c r="N497" t="s">
        <v>45</v>
      </c>
      <c r="O497">
        <v>990894</v>
      </c>
      <c r="U497">
        <f>Table1[[#This Row],[Interview_Date]]-Table1[[#This Row],[Application_Date]]</f>
        <v>6</v>
      </c>
      <c r="V497" t="str">
        <f>IF(OR(Table1[[#This Row],[Offer_Date]]="",Table1[[#This Row],[Interview_Date]]=""),"",Table1[[#This Row],[Offer_Date]]-Table1[[#This Row],[Interview_Date]])</f>
        <v/>
      </c>
    </row>
    <row r="498" spans="1:22" x14ac:dyDescent="0.3">
      <c r="A498" t="s">
        <v>553</v>
      </c>
      <c r="B498" t="s">
        <v>24</v>
      </c>
      <c r="C498" t="s">
        <v>43</v>
      </c>
      <c r="D498" t="s">
        <v>18</v>
      </c>
      <c r="E498">
        <v>27</v>
      </c>
      <c r="F498" t="s">
        <v>31</v>
      </c>
      <c r="G498" t="s">
        <v>20</v>
      </c>
      <c r="H498" t="s">
        <v>36</v>
      </c>
      <c r="I498" s="1">
        <v>45168</v>
      </c>
      <c r="J498" s="1">
        <v>45176</v>
      </c>
      <c r="L498">
        <v>3</v>
      </c>
      <c r="M498">
        <v>8</v>
      </c>
      <c r="N498" t="s">
        <v>28</v>
      </c>
      <c r="O498">
        <v>503384</v>
      </c>
      <c r="U498">
        <f>Table1[[#This Row],[Interview_Date]]-Table1[[#This Row],[Application_Date]]</f>
        <v>8</v>
      </c>
      <c r="V498" t="str">
        <f>IF(OR(Table1[[#This Row],[Offer_Date]]="",Table1[[#This Row],[Interview_Date]]=""),"",Table1[[#This Row],[Offer_Date]]-Table1[[#This Row],[Interview_Date]])</f>
        <v/>
      </c>
    </row>
    <row r="499" spans="1:22" x14ac:dyDescent="0.3">
      <c r="A499" t="s">
        <v>554</v>
      </c>
      <c r="B499" t="s">
        <v>38</v>
      </c>
      <c r="C499" t="s">
        <v>43</v>
      </c>
      <c r="D499" t="s">
        <v>26</v>
      </c>
      <c r="E499">
        <v>33</v>
      </c>
      <c r="F499" t="s">
        <v>74</v>
      </c>
      <c r="G499" t="s">
        <v>27</v>
      </c>
      <c r="H499" t="s">
        <v>21</v>
      </c>
      <c r="I499" s="1">
        <v>44490</v>
      </c>
      <c r="J499" s="1">
        <v>44493</v>
      </c>
      <c r="K499" s="1">
        <v>44498</v>
      </c>
      <c r="L499">
        <v>1</v>
      </c>
      <c r="M499">
        <v>8</v>
      </c>
      <c r="N499" t="s">
        <v>45</v>
      </c>
      <c r="O499">
        <v>735916</v>
      </c>
      <c r="U499">
        <f>Table1[[#This Row],[Interview_Date]]-Table1[[#This Row],[Application_Date]]</f>
        <v>3</v>
      </c>
      <c r="V499">
        <f>IF(OR(Table1[[#This Row],[Offer_Date]]="",Table1[[#This Row],[Interview_Date]]=""),"",Table1[[#This Row],[Offer_Date]]-Table1[[#This Row],[Interview_Date]])</f>
        <v>5</v>
      </c>
    </row>
    <row r="500" spans="1:22" x14ac:dyDescent="0.3">
      <c r="A500" t="s">
        <v>555</v>
      </c>
      <c r="B500" t="s">
        <v>63</v>
      </c>
      <c r="C500" t="s">
        <v>69</v>
      </c>
      <c r="D500" t="s">
        <v>18</v>
      </c>
      <c r="E500">
        <v>25</v>
      </c>
      <c r="F500" t="s">
        <v>56</v>
      </c>
      <c r="G500" t="s">
        <v>35</v>
      </c>
      <c r="H500" t="s">
        <v>40</v>
      </c>
      <c r="I500" s="1">
        <v>44237</v>
      </c>
      <c r="J500" s="1">
        <v>44248</v>
      </c>
      <c r="K500" s="1">
        <v>44253</v>
      </c>
      <c r="L500">
        <v>3</v>
      </c>
      <c r="M500">
        <v>7</v>
      </c>
      <c r="N500" t="s">
        <v>22</v>
      </c>
      <c r="O500">
        <v>725471</v>
      </c>
      <c r="U500">
        <f>Table1[[#This Row],[Interview_Date]]-Table1[[#This Row],[Application_Date]]</f>
        <v>11</v>
      </c>
      <c r="V500">
        <f>IF(OR(Table1[[#This Row],[Offer_Date]]="",Table1[[#This Row],[Interview_Date]]=""),"",Table1[[#This Row],[Offer_Date]]-Table1[[#This Row],[Interview_Date]])</f>
        <v>5</v>
      </c>
    </row>
    <row r="501" spans="1:22" x14ac:dyDescent="0.3">
      <c r="A501" t="s">
        <v>556</v>
      </c>
      <c r="B501" t="s">
        <v>38</v>
      </c>
      <c r="C501" t="s">
        <v>50</v>
      </c>
      <c r="D501" t="s">
        <v>18</v>
      </c>
      <c r="E501">
        <v>27</v>
      </c>
      <c r="F501" t="s">
        <v>31</v>
      </c>
      <c r="G501" t="s">
        <v>60</v>
      </c>
      <c r="H501" t="s">
        <v>51</v>
      </c>
      <c r="I501" s="1">
        <v>45236</v>
      </c>
      <c r="J501" s="1">
        <v>45249</v>
      </c>
      <c r="L501">
        <v>5</v>
      </c>
      <c r="M501">
        <v>3</v>
      </c>
      <c r="N501" t="s">
        <v>48</v>
      </c>
      <c r="O501">
        <v>756099</v>
      </c>
      <c r="U501">
        <f>Table1[[#This Row],[Interview_Date]]-Table1[[#This Row],[Application_Date]]</f>
        <v>13</v>
      </c>
      <c r="V501" t="str">
        <f>IF(OR(Table1[[#This Row],[Offer_Date]]="",Table1[[#This Row],[Interview_Date]]=""),"",Table1[[#This Row],[Offer_Date]]-Table1[[#This Row],[Interview_Date]])</f>
        <v/>
      </c>
    </row>
    <row r="502" spans="1:22" x14ac:dyDescent="0.3">
      <c r="A502" t="s">
        <v>557</v>
      </c>
      <c r="B502" t="s">
        <v>65</v>
      </c>
      <c r="C502" t="s">
        <v>66</v>
      </c>
      <c r="D502" t="s">
        <v>18</v>
      </c>
      <c r="E502">
        <v>26</v>
      </c>
      <c r="F502" t="s">
        <v>31</v>
      </c>
      <c r="G502" t="s">
        <v>35</v>
      </c>
      <c r="H502" t="s">
        <v>21</v>
      </c>
      <c r="I502" s="1">
        <v>44702</v>
      </c>
      <c r="J502" s="1">
        <v>44710</v>
      </c>
      <c r="K502" s="1">
        <v>44715</v>
      </c>
      <c r="L502">
        <v>1</v>
      </c>
      <c r="M502">
        <v>10</v>
      </c>
      <c r="N502" t="s">
        <v>45</v>
      </c>
      <c r="O502">
        <v>799317</v>
      </c>
      <c r="U502">
        <f>Table1[[#This Row],[Interview_Date]]-Table1[[#This Row],[Application_Date]]</f>
        <v>8</v>
      </c>
      <c r="V502">
        <f>IF(OR(Table1[[#This Row],[Offer_Date]]="",Table1[[#This Row],[Interview_Date]]=""),"",Table1[[#This Row],[Offer_Date]]-Table1[[#This Row],[Interview_Date]])</f>
        <v>5</v>
      </c>
    </row>
    <row r="503" spans="1:22" x14ac:dyDescent="0.3">
      <c r="A503" t="s">
        <v>558</v>
      </c>
      <c r="B503" t="s">
        <v>16</v>
      </c>
      <c r="C503" t="s">
        <v>94</v>
      </c>
      <c r="D503" t="s">
        <v>26</v>
      </c>
      <c r="E503">
        <v>36</v>
      </c>
      <c r="F503" t="s">
        <v>39</v>
      </c>
      <c r="G503" t="s">
        <v>44</v>
      </c>
      <c r="H503" t="s">
        <v>40</v>
      </c>
      <c r="I503" s="1">
        <v>45110</v>
      </c>
      <c r="J503" s="1">
        <v>45113</v>
      </c>
      <c r="K503" s="1">
        <v>45120</v>
      </c>
      <c r="L503">
        <v>2</v>
      </c>
      <c r="M503">
        <v>10</v>
      </c>
      <c r="N503" t="s">
        <v>22</v>
      </c>
      <c r="O503">
        <v>1141757</v>
      </c>
      <c r="U503">
        <f>Table1[[#This Row],[Interview_Date]]-Table1[[#This Row],[Application_Date]]</f>
        <v>3</v>
      </c>
      <c r="V503">
        <f>IF(OR(Table1[[#This Row],[Offer_Date]]="",Table1[[#This Row],[Interview_Date]]=""),"",Table1[[#This Row],[Offer_Date]]-Table1[[#This Row],[Interview_Date]])</f>
        <v>7</v>
      </c>
    </row>
    <row r="504" spans="1:22" x14ac:dyDescent="0.3">
      <c r="A504" t="s">
        <v>559</v>
      </c>
      <c r="B504" t="s">
        <v>16</v>
      </c>
      <c r="C504" t="s">
        <v>25</v>
      </c>
      <c r="D504" t="s">
        <v>26</v>
      </c>
      <c r="E504">
        <v>23</v>
      </c>
      <c r="F504" t="s">
        <v>31</v>
      </c>
      <c r="G504" t="s">
        <v>35</v>
      </c>
      <c r="H504" t="s">
        <v>51</v>
      </c>
      <c r="I504" s="1">
        <v>45100</v>
      </c>
      <c r="J504" s="1">
        <v>45112</v>
      </c>
      <c r="K504" s="1">
        <v>45115</v>
      </c>
      <c r="L504">
        <v>1</v>
      </c>
      <c r="M504">
        <v>7</v>
      </c>
      <c r="N504" t="s">
        <v>22</v>
      </c>
      <c r="O504">
        <v>648313</v>
      </c>
      <c r="U504">
        <f>Table1[[#This Row],[Interview_Date]]-Table1[[#This Row],[Application_Date]]</f>
        <v>12</v>
      </c>
      <c r="V504">
        <f>IF(OR(Table1[[#This Row],[Offer_Date]]="",Table1[[#This Row],[Interview_Date]]=""),"",Table1[[#This Row],[Offer_Date]]-Table1[[#This Row],[Interview_Date]])</f>
        <v>3</v>
      </c>
    </row>
    <row r="505" spans="1:22" x14ac:dyDescent="0.3">
      <c r="A505" t="s">
        <v>560</v>
      </c>
      <c r="B505" t="s">
        <v>72</v>
      </c>
      <c r="C505" t="s">
        <v>53</v>
      </c>
      <c r="D505" t="s">
        <v>26</v>
      </c>
      <c r="E505">
        <v>36</v>
      </c>
      <c r="F505" t="s">
        <v>31</v>
      </c>
      <c r="G505" t="s">
        <v>27</v>
      </c>
      <c r="H505" t="s">
        <v>40</v>
      </c>
      <c r="I505" s="1">
        <v>44840</v>
      </c>
      <c r="J505" s="1">
        <v>44846</v>
      </c>
      <c r="K505" s="1">
        <v>44849</v>
      </c>
      <c r="L505">
        <v>3</v>
      </c>
      <c r="M505">
        <v>8</v>
      </c>
      <c r="N505" t="s">
        <v>22</v>
      </c>
      <c r="O505">
        <v>392022</v>
      </c>
      <c r="U505">
        <f>Table1[[#This Row],[Interview_Date]]-Table1[[#This Row],[Application_Date]]</f>
        <v>6</v>
      </c>
      <c r="V505">
        <f>IF(OR(Table1[[#This Row],[Offer_Date]]="",Table1[[#This Row],[Interview_Date]]=""),"",Table1[[#This Row],[Offer_Date]]-Table1[[#This Row],[Interview_Date]])</f>
        <v>3</v>
      </c>
    </row>
    <row r="506" spans="1:22" x14ac:dyDescent="0.3">
      <c r="A506" t="s">
        <v>561</v>
      </c>
      <c r="B506" t="s">
        <v>65</v>
      </c>
      <c r="C506" t="s">
        <v>94</v>
      </c>
      <c r="D506" t="s">
        <v>26</v>
      </c>
      <c r="E506">
        <v>28</v>
      </c>
      <c r="F506" t="s">
        <v>39</v>
      </c>
      <c r="G506" t="s">
        <v>44</v>
      </c>
      <c r="H506" t="s">
        <v>54</v>
      </c>
      <c r="I506" s="1">
        <v>44731</v>
      </c>
      <c r="J506" s="1">
        <v>44737</v>
      </c>
      <c r="L506">
        <v>4</v>
      </c>
      <c r="M506">
        <v>3</v>
      </c>
      <c r="N506" t="s">
        <v>45</v>
      </c>
      <c r="O506">
        <v>1198322</v>
      </c>
      <c r="U506">
        <f>Table1[[#This Row],[Interview_Date]]-Table1[[#This Row],[Application_Date]]</f>
        <v>6</v>
      </c>
      <c r="V506" t="str">
        <f>IF(OR(Table1[[#This Row],[Offer_Date]]="",Table1[[#This Row],[Interview_Date]]=""),"",Table1[[#This Row],[Offer_Date]]-Table1[[#This Row],[Interview_Date]])</f>
        <v/>
      </c>
    </row>
    <row r="507" spans="1:22" x14ac:dyDescent="0.3">
      <c r="A507" t="s">
        <v>562</v>
      </c>
      <c r="B507" t="s">
        <v>47</v>
      </c>
      <c r="C507" t="s">
        <v>94</v>
      </c>
      <c r="D507" t="s">
        <v>26</v>
      </c>
      <c r="E507">
        <v>44</v>
      </c>
      <c r="F507" t="s">
        <v>39</v>
      </c>
      <c r="G507" t="s">
        <v>60</v>
      </c>
      <c r="H507" t="s">
        <v>54</v>
      </c>
      <c r="I507" s="1">
        <v>44577</v>
      </c>
      <c r="J507" s="1">
        <v>44582</v>
      </c>
      <c r="L507">
        <v>4</v>
      </c>
      <c r="M507">
        <v>3</v>
      </c>
      <c r="N507" t="s">
        <v>22</v>
      </c>
      <c r="O507">
        <v>411252</v>
      </c>
      <c r="U507">
        <f>Table1[[#This Row],[Interview_Date]]-Table1[[#This Row],[Application_Date]]</f>
        <v>5</v>
      </c>
      <c r="V507" t="str">
        <f>IF(OR(Table1[[#This Row],[Offer_Date]]="",Table1[[#This Row],[Interview_Date]]=""),"",Table1[[#This Row],[Offer_Date]]-Table1[[#This Row],[Interview_Date]])</f>
        <v/>
      </c>
    </row>
    <row r="508" spans="1:22" x14ac:dyDescent="0.3">
      <c r="A508" t="s">
        <v>563</v>
      </c>
      <c r="B508" t="s">
        <v>63</v>
      </c>
      <c r="C508" t="s">
        <v>43</v>
      </c>
      <c r="D508" t="s">
        <v>26</v>
      </c>
      <c r="E508">
        <v>38</v>
      </c>
      <c r="F508" t="s">
        <v>31</v>
      </c>
      <c r="G508" t="s">
        <v>27</v>
      </c>
      <c r="H508" t="s">
        <v>21</v>
      </c>
      <c r="I508" s="1">
        <v>44994</v>
      </c>
      <c r="J508" s="1">
        <v>45005</v>
      </c>
      <c r="L508">
        <v>1</v>
      </c>
      <c r="M508">
        <v>6</v>
      </c>
      <c r="N508" t="s">
        <v>22</v>
      </c>
      <c r="O508">
        <v>967271</v>
      </c>
      <c r="U508">
        <f>Table1[[#This Row],[Interview_Date]]-Table1[[#This Row],[Application_Date]]</f>
        <v>11</v>
      </c>
      <c r="V508" t="str">
        <f>IF(OR(Table1[[#This Row],[Offer_Date]]="",Table1[[#This Row],[Interview_Date]]=""),"",Table1[[#This Row],[Offer_Date]]-Table1[[#This Row],[Interview_Date]])</f>
        <v/>
      </c>
    </row>
    <row r="509" spans="1:22" x14ac:dyDescent="0.3">
      <c r="A509" t="s">
        <v>564</v>
      </c>
      <c r="B509" t="s">
        <v>24</v>
      </c>
      <c r="C509" t="s">
        <v>50</v>
      </c>
      <c r="D509" t="s">
        <v>18</v>
      </c>
      <c r="E509">
        <v>29</v>
      </c>
      <c r="F509" t="s">
        <v>19</v>
      </c>
      <c r="G509" t="s">
        <v>35</v>
      </c>
      <c r="H509" t="s">
        <v>51</v>
      </c>
      <c r="I509" s="1">
        <v>44587</v>
      </c>
      <c r="J509" s="1">
        <v>44594</v>
      </c>
      <c r="L509">
        <v>1</v>
      </c>
      <c r="M509">
        <v>2</v>
      </c>
      <c r="N509" t="s">
        <v>22</v>
      </c>
      <c r="O509">
        <v>766161</v>
      </c>
      <c r="U509">
        <f>Table1[[#This Row],[Interview_Date]]-Table1[[#This Row],[Application_Date]]</f>
        <v>7</v>
      </c>
      <c r="V509" t="str">
        <f>IF(OR(Table1[[#This Row],[Offer_Date]]="",Table1[[#This Row],[Interview_Date]]=""),"",Table1[[#This Row],[Offer_Date]]-Table1[[#This Row],[Interview_Date]])</f>
        <v/>
      </c>
    </row>
    <row r="510" spans="1:22" x14ac:dyDescent="0.3">
      <c r="A510" t="s">
        <v>565</v>
      </c>
      <c r="B510" t="s">
        <v>33</v>
      </c>
      <c r="C510" t="s">
        <v>30</v>
      </c>
      <c r="D510" t="s">
        <v>26</v>
      </c>
      <c r="E510">
        <v>39</v>
      </c>
      <c r="F510" t="s">
        <v>19</v>
      </c>
      <c r="G510" t="s">
        <v>44</v>
      </c>
      <c r="H510" t="s">
        <v>51</v>
      </c>
      <c r="I510" s="1">
        <v>45256</v>
      </c>
      <c r="J510" s="1">
        <v>45267</v>
      </c>
      <c r="L510">
        <v>4</v>
      </c>
      <c r="M510">
        <v>2</v>
      </c>
      <c r="N510" t="s">
        <v>48</v>
      </c>
      <c r="O510">
        <v>1023759</v>
      </c>
      <c r="U510">
        <f>Table1[[#This Row],[Interview_Date]]-Table1[[#This Row],[Application_Date]]</f>
        <v>11</v>
      </c>
      <c r="V510" t="str">
        <f>IF(OR(Table1[[#This Row],[Offer_Date]]="",Table1[[#This Row],[Interview_Date]]=""),"",Table1[[#This Row],[Offer_Date]]-Table1[[#This Row],[Interview_Date]])</f>
        <v/>
      </c>
    </row>
    <row r="511" spans="1:22" x14ac:dyDescent="0.3">
      <c r="A511" t="s">
        <v>566</v>
      </c>
      <c r="B511" t="s">
        <v>24</v>
      </c>
      <c r="C511" t="s">
        <v>59</v>
      </c>
      <c r="D511" t="s">
        <v>26</v>
      </c>
      <c r="E511">
        <v>41</v>
      </c>
      <c r="F511" t="s">
        <v>19</v>
      </c>
      <c r="G511" t="s">
        <v>35</v>
      </c>
      <c r="H511" t="s">
        <v>40</v>
      </c>
      <c r="I511" s="1">
        <v>45223</v>
      </c>
      <c r="J511" s="1">
        <v>45230</v>
      </c>
      <c r="K511" s="1">
        <v>45234</v>
      </c>
      <c r="L511">
        <v>4</v>
      </c>
      <c r="M511">
        <v>9</v>
      </c>
      <c r="N511" t="s">
        <v>45</v>
      </c>
      <c r="O511">
        <v>634914</v>
      </c>
      <c r="U511">
        <f>Table1[[#This Row],[Interview_Date]]-Table1[[#This Row],[Application_Date]]</f>
        <v>7</v>
      </c>
      <c r="V511">
        <f>IF(OR(Table1[[#This Row],[Offer_Date]]="",Table1[[#This Row],[Interview_Date]]=""),"",Table1[[#This Row],[Offer_Date]]-Table1[[#This Row],[Interview_Date]])</f>
        <v>4</v>
      </c>
    </row>
    <row r="512" spans="1:22" x14ac:dyDescent="0.3">
      <c r="A512" t="s">
        <v>567</v>
      </c>
      <c r="B512" t="s">
        <v>24</v>
      </c>
      <c r="C512" t="s">
        <v>25</v>
      </c>
      <c r="D512" t="s">
        <v>26</v>
      </c>
      <c r="E512">
        <v>41</v>
      </c>
      <c r="F512" t="s">
        <v>19</v>
      </c>
      <c r="G512" t="s">
        <v>27</v>
      </c>
      <c r="H512" t="s">
        <v>51</v>
      </c>
      <c r="I512" s="1">
        <v>45271</v>
      </c>
      <c r="J512" s="1">
        <v>45276</v>
      </c>
      <c r="L512">
        <v>5</v>
      </c>
      <c r="M512">
        <v>9</v>
      </c>
      <c r="N512" t="s">
        <v>28</v>
      </c>
      <c r="O512">
        <v>1053006</v>
      </c>
      <c r="U512">
        <f>Table1[[#This Row],[Interview_Date]]-Table1[[#This Row],[Application_Date]]</f>
        <v>5</v>
      </c>
      <c r="V512" t="str">
        <f>IF(OR(Table1[[#This Row],[Offer_Date]]="",Table1[[#This Row],[Interview_Date]]=""),"",Table1[[#This Row],[Offer_Date]]-Table1[[#This Row],[Interview_Date]])</f>
        <v/>
      </c>
    </row>
    <row r="513" spans="1:22" x14ac:dyDescent="0.3">
      <c r="A513" t="s">
        <v>568</v>
      </c>
      <c r="B513" t="s">
        <v>24</v>
      </c>
      <c r="C513" t="s">
        <v>94</v>
      </c>
      <c r="D513" t="s">
        <v>26</v>
      </c>
      <c r="E513">
        <v>42</v>
      </c>
      <c r="F513" t="s">
        <v>74</v>
      </c>
      <c r="G513" t="s">
        <v>44</v>
      </c>
      <c r="H513" t="s">
        <v>40</v>
      </c>
      <c r="I513" s="1">
        <v>44345</v>
      </c>
      <c r="J513" s="1">
        <v>44348</v>
      </c>
      <c r="K513" s="1">
        <v>44351</v>
      </c>
      <c r="L513">
        <v>1</v>
      </c>
      <c r="M513">
        <v>5</v>
      </c>
      <c r="N513" t="s">
        <v>28</v>
      </c>
      <c r="O513">
        <v>460913</v>
      </c>
      <c r="U513">
        <f>Table1[[#This Row],[Interview_Date]]-Table1[[#This Row],[Application_Date]]</f>
        <v>3</v>
      </c>
      <c r="V513">
        <f>IF(OR(Table1[[#This Row],[Offer_Date]]="",Table1[[#This Row],[Interview_Date]]=""),"",Table1[[#This Row],[Offer_Date]]-Table1[[#This Row],[Interview_Date]])</f>
        <v>3</v>
      </c>
    </row>
    <row r="514" spans="1:22" x14ac:dyDescent="0.3">
      <c r="A514" t="s">
        <v>569</v>
      </c>
      <c r="B514" t="s">
        <v>33</v>
      </c>
      <c r="C514" t="s">
        <v>17</v>
      </c>
      <c r="D514" t="s">
        <v>18</v>
      </c>
      <c r="E514">
        <v>25</v>
      </c>
      <c r="F514" t="s">
        <v>31</v>
      </c>
      <c r="G514" t="s">
        <v>35</v>
      </c>
      <c r="H514" t="s">
        <v>54</v>
      </c>
      <c r="I514" s="1">
        <v>44518</v>
      </c>
      <c r="J514" s="1">
        <v>44525</v>
      </c>
      <c r="L514">
        <v>1</v>
      </c>
      <c r="M514">
        <v>3</v>
      </c>
      <c r="N514" t="s">
        <v>45</v>
      </c>
      <c r="O514">
        <v>357671</v>
      </c>
      <c r="U514">
        <f>Table1[[#This Row],[Interview_Date]]-Table1[[#This Row],[Application_Date]]</f>
        <v>7</v>
      </c>
      <c r="V514" t="str">
        <f>IF(OR(Table1[[#This Row],[Offer_Date]]="",Table1[[#This Row],[Interview_Date]]=""),"",Table1[[#This Row],[Offer_Date]]-Table1[[#This Row],[Interview_Date]])</f>
        <v/>
      </c>
    </row>
    <row r="515" spans="1:22" x14ac:dyDescent="0.3">
      <c r="A515" t="s">
        <v>570</v>
      </c>
      <c r="B515" t="s">
        <v>58</v>
      </c>
      <c r="C515" t="s">
        <v>17</v>
      </c>
      <c r="D515" t="s">
        <v>26</v>
      </c>
      <c r="E515">
        <v>27</v>
      </c>
      <c r="F515" t="s">
        <v>19</v>
      </c>
      <c r="G515" t="s">
        <v>60</v>
      </c>
      <c r="H515" t="s">
        <v>40</v>
      </c>
      <c r="I515" s="1">
        <v>44400</v>
      </c>
      <c r="J515" s="1">
        <v>44411</v>
      </c>
      <c r="L515">
        <v>5</v>
      </c>
      <c r="M515">
        <v>7</v>
      </c>
      <c r="N515" t="s">
        <v>28</v>
      </c>
      <c r="O515">
        <v>885488</v>
      </c>
      <c r="U515">
        <f>Table1[[#This Row],[Interview_Date]]-Table1[[#This Row],[Application_Date]]</f>
        <v>11</v>
      </c>
      <c r="V515" t="str">
        <f>IF(OR(Table1[[#This Row],[Offer_Date]]="",Table1[[#This Row],[Interview_Date]]=""),"",Table1[[#This Row],[Offer_Date]]-Table1[[#This Row],[Interview_Date]])</f>
        <v/>
      </c>
    </row>
    <row r="516" spans="1:22" x14ac:dyDescent="0.3">
      <c r="A516" t="s">
        <v>571</v>
      </c>
      <c r="B516" t="s">
        <v>47</v>
      </c>
      <c r="C516" t="s">
        <v>94</v>
      </c>
      <c r="D516" t="s">
        <v>26</v>
      </c>
      <c r="E516">
        <v>45</v>
      </c>
      <c r="F516" t="s">
        <v>19</v>
      </c>
      <c r="G516" t="s">
        <v>60</v>
      </c>
      <c r="H516" t="s">
        <v>36</v>
      </c>
      <c r="I516" s="1">
        <v>44771</v>
      </c>
      <c r="J516" s="1">
        <v>44774</v>
      </c>
      <c r="K516" s="1">
        <v>44777</v>
      </c>
      <c r="L516">
        <v>1</v>
      </c>
      <c r="M516">
        <v>4</v>
      </c>
      <c r="N516" t="s">
        <v>45</v>
      </c>
      <c r="O516">
        <v>596728</v>
      </c>
      <c r="U516">
        <f>Table1[[#This Row],[Interview_Date]]-Table1[[#This Row],[Application_Date]]</f>
        <v>3</v>
      </c>
      <c r="V516">
        <f>IF(OR(Table1[[#This Row],[Offer_Date]]="",Table1[[#This Row],[Interview_Date]]=""),"",Table1[[#This Row],[Offer_Date]]-Table1[[#This Row],[Interview_Date]])</f>
        <v>3</v>
      </c>
    </row>
    <row r="517" spans="1:22" x14ac:dyDescent="0.3">
      <c r="A517" t="s">
        <v>572</v>
      </c>
      <c r="B517" t="s">
        <v>65</v>
      </c>
      <c r="C517" t="s">
        <v>69</v>
      </c>
      <c r="D517" t="s">
        <v>26</v>
      </c>
      <c r="E517">
        <v>37</v>
      </c>
      <c r="F517" t="s">
        <v>74</v>
      </c>
      <c r="G517" t="s">
        <v>60</v>
      </c>
      <c r="H517" t="s">
        <v>54</v>
      </c>
      <c r="I517" s="1">
        <v>44989</v>
      </c>
      <c r="J517" s="1">
        <v>44995</v>
      </c>
      <c r="L517">
        <v>1</v>
      </c>
      <c r="M517">
        <v>2</v>
      </c>
      <c r="N517" t="s">
        <v>45</v>
      </c>
      <c r="O517">
        <v>584183</v>
      </c>
      <c r="U517">
        <f>Table1[[#This Row],[Interview_Date]]-Table1[[#This Row],[Application_Date]]</f>
        <v>6</v>
      </c>
      <c r="V517" t="str">
        <f>IF(OR(Table1[[#This Row],[Offer_Date]]="",Table1[[#This Row],[Interview_Date]]=""),"",Table1[[#This Row],[Offer_Date]]-Table1[[#This Row],[Interview_Date]])</f>
        <v/>
      </c>
    </row>
    <row r="518" spans="1:22" x14ac:dyDescent="0.3">
      <c r="A518" t="s">
        <v>573</v>
      </c>
      <c r="B518" t="s">
        <v>16</v>
      </c>
      <c r="C518" t="s">
        <v>66</v>
      </c>
      <c r="D518" t="s">
        <v>18</v>
      </c>
      <c r="E518">
        <v>44</v>
      </c>
      <c r="F518" t="s">
        <v>56</v>
      </c>
      <c r="G518" t="s">
        <v>20</v>
      </c>
      <c r="H518" t="s">
        <v>21</v>
      </c>
      <c r="I518" s="1">
        <v>45100</v>
      </c>
      <c r="J518" s="1">
        <v>45114</v>
      </c>
      <c r="L518">
        <v>4</v>
      </c>
      <c r="M518">
        <v>7</v>
      </c>
      <c r="N518" t="s">
        <v>22</v>
      </c>
      <c r="O518">
        <v>1101162</v>
      </c>
      <c r="U518">
        <f>Table1[[#This Row],[Interview_Date]]-Table1[[#This Row],[Application_Date]]</f>
        <v>14</v>
      </c>
      <c r="V518" t="str">
        <f>IF(OR(Table1[[#This Row],[Offer_Date]]="",Table1[[#This Row],[Interview_Date]]=""),"",Table1[[#This Row],[Offer_Date]]-Table1[[#This Row],[Interview_Date]])</f>
        <v/>
      </c>
    </row>
    <row r="519" spans="1:22" x14ac:dyDescent="0.3">
      <c r="A519" t="s">
        <v>574</v>
      </c>
      <c r="B519" t="s">
        <v>63</v>
      </c>
      <c r="C519" t="s">
        <v>94</v>
      </c>
      <c r="D519" t="s">
        <v>18</v>
      </c>
      <c r="E519">
        <v>24</v>
      </c>
      <c r="F519" t="s">
        <v>56</v>
      </c>
      <c r="G519" t="s">
        <v>35</v>
      </c>
      <c r="H519" t="s">
        <v>40</v>
      </c>
      <c r="I519" s="1">
        <v>44710</v>
      </c>
      <c r="J519" s="1">
        <v>44718</v>
      </c>
      <c r="K519" s="1">
        <v>44723</v>
      </c>
      <c r="L519">
        <v>5</v>
      </c>
      <c r="M519">
        <v>6</v>
      </c>
      <c r="N519" t="s">
        <v>22</v>
      </c>
      <c r="O519">
        <v>1165174</v>
      </c>
      <c r="U519">
        <f>Table1[[#This Row],[Interview_Date]]-Table1[[#This Row],[Application_Date]]</f>
        <v>8</v>
      </c>
      <c r="V519">
        <f>IF(OR(Table1[[#This Row],[Offer_Date]]="",Table1[[#This Row],[Interview_Date]]=""),"",Table1[[#This Row],[Offer_Date]]-Table1[[#This Row],[Interview_Date]])</f>
        <v>5</v>
      </c>
    </row>
    <row r="520" spans="1:22" x14ac:dyDescent="0.3">
      <c r="A520" t="s">
        <v>575</v>
      </c>
      <c r="B520" t="s">
        <v>65</v>
      </c>
      <c r="C520" t="s">
        <v>25</v>
      </c>
      <c r="D520" t="s">
        <v>26</v>
      </c>
      <c r="E520">
        <v>34</v>
      </c>
      <c r="F520" t="s">
        <v>74</v>
      </c>
      <c r="G520" t="s">
        <v>44</v>
      </c>
      <c r="H520" t="s">
        <v>40</v>
      </c>
      <c r="I520" s="1">
        <v>45378</v>
      </c>
      <c r="J520" s="1">
        <v>45393</v>
      </c>
      <c r="K520" s="1">
        <v>45396</v>
      </c>
      <c r="L520">
        <v>2</v>
      </c>
      <c r="M520">
        <v>8</v>
      </c>
      <c r="N520" t="s">
        <v>45</v>
      </c>
      <c r="O520">
        <v>1139478</v>
      </c>
      <c r="U520">
        <f>Table1[[#This Row],[Interview_Date]]-Table1[[#This Row],[Application_Date]]</f>
        <v>15</v>
      </c>
      <c r="V520">
        <f>IF(OR(Table1[[#This Row],[Offer_Date]]="",Table1[[#This Row],[Interview_Date]]=""),"",Table1[[#This Row],[Offer_Date]]-Table1[[#This Row],[Interview_Date]])</f>
        <v>3</v>
      </c>
    </row>
    <row r="521" spans="1:22" x14ac:dyDescent="0.3">
      <c r="A521" t="s">
        <v>576</v>
      </c>
      <c r="B521" t="s">
        <v>65</v>
      </c>
      <c r="C521" t="s">
        <v>94</v>
      </c>
      <c r="D521" t="s">
        <v>18</v>
      </c>
      <c r="E521">
        <v>30</v>
      </c>
      <c r="F521" t="s">
        <v>56</v>
      </c>
      <c r="G521" t="s">
        <v>20</v>
      </c>
      <c r="H521" t="s">
        <v>21</v>
      </c>
      <c r="I521" s="1">
        <v>44883</v>
      </c>
      <c r="J521" s="1">
        <v>44893</v>
      </c>
      <c r="L521">
        <v>1</v>
      </c>
      <c r="M521">
        <v>9</v>
      </c>
      <c r="N521" t="s">
        <v>28</v>
      </c>
      <c r="O521">
        <v>582495</v>
      </c>
      <c r="U521">
        <f>Table1[[#This Row],[Interview_Date]]-Table1[[#This Row],[Application_Date]]</f>
        <v>10</v>
      </c>
      <c r="V521" t="str">
        <f>IF(OR(Table1[[#This Row],[Offer_Date]]="",Table1[[#This Row],[Interview_Date]]=""),"",Table1[[#This Row],[Offer_Date]]-Table1[[#This Row],[Interview_Date]])</f>
        <v/>
      </c>
    </row>
    <row r="522" spans="1:22" x14ac:dyDescent="0.3">
      <c r="A522" t="s">
        <v>577</v>
      </c>
      <c r="B522" t="s">
        <v>58</v>
      </c>
      <c r="C522" t="s">
        <v>66</v>
      </c>
      <c r="D522" t="s">
        <v>26</v>
      </c>
      <c r="E522">
        <v>21</v>
      </c>
      <c r="F522" t="s">
        <v>56</v>
      </c>
      <c r="G522" t="s">
        <v>27</v>
      </c>
      <c r="H522" t="s">
        <v>51</v>
      </c>
      <c r="I522" s="1">
        <v>45292</v>
      </c>
      <c r="J522" s="1">
        <v>45300</v>
      </c>
      <c r="L522">
        <v>1</v>
      </c>
      <c r="M522">
        <v>10</v>
      </c>
      <c r="N522" t="s">
        <v>45</v>
      </c>
      <c r="O522">
        <v>432079</v>
      </c>
      <c r="U522">
        <f>Table1[[#This Row],[Interview_Date]]-Table1[[#This Row],[Application_Date]]</f>
        <v>8</v>
      </c>
      <c r="V522" t="str">
        <f>IF(OR(Table1[[#This Row],[Offer_Date]]="",Table1[[#This Row],[Interview_Date]]=""),"",Table1[[#This Row],[Offer_Date]]-Table1[[#This Row],[Interview_Date]])</f>
        <v/>
      </c>
    </row>
    <row r="523" spans="1:22" x14ac:dyDescent="0.3">
      <c r="A523" t="s">
        <v>578</v>
      </c>
      <c r="B523" t="s">
        <v>16</v>
      </c>
      <c r="C523" t="s">
        <v>25</v>
      </c>
      <c r="D523" t="s">
        <v>26</v>
      </c>
      <c r="E523">
        <v>38</v>
      </c>
      <c r="F523" t="s">
        <v>19</v>
      </c>
      <c r="G523" t="s">
        <v>35</v>
      </c>
      <c r="H523" t="s">
        <v>51</v>
      </c>
      <c r="I523" s="1">
        <v>44272</v>
      </c>
      <c r="J523" s="1">
        <v>44281</v>
      </c>
      <c r="K523" s="1">
        <v>44283</v>
      </c>
      <c r="L523">
        <v>2</v>
      </c>
      <c r="M523">
        <v>3</v>
      </c>
      <c r="N523" t="s">
        <v>48</v>
      </c>
      <c r="O523">
        <v>555415</v>
      </c>
      <c r="U523">
        <f>Table1[[#This Row],[Interview_Date]]-Table1[[#This Row],[Application_Date]]</f>
        <v>9</v>
      </c>
      <c r="V523">
        <f>IF(OR(Table1[[#This Row],[Offer_Date]]="",Table1[[#This Row],[Interview_Date]]=""),"",Table1[[#This Row],[Offer_Date]]-Table1[[#This Row],[Interview_Date]])</f>
        <v>2</v>
      </c>
    </row>
    <row r="524" spans="1:22" x14ac:dyDescent="0.3">
      <c r="A524" t="s">
        <v>579</v>
      </c>
      <c r="B524" t="s">
        <v>38</v>
      </c>
      <c r="C524" t="s">
        <v>25</v>
      </c>
      <c r="D524" t="s">
        <v>18</v>
      </c>
      <c r="E524">
        <v>23</v>
      </c>
      <c r="F524" t="s">
        <v>56</v>
      </c>
      <c r="G524" t="s">
        <v>27</v>
      </c>
      <c r="H524" t="s">
        <v>40</v>
      </c>
      <c r="I524" s="1">
        <v>45260</v>
      </c>
      <c r="J524" s="1">
        <v>45263</v>
      </c>
      <c r="L524">
        <v>3</v>
      </c>
      <c r="M524">
        <v>4</v>
      </c>
      <c r="N524" t="s">
        <v>48</v>
      </c>
      <c r="O524">
        <v>550062</v>
      </c>
      <c r="U524">
        <f>Table1[[#This Row],[Interview_Date]]-Table1[[#This Row],[Application_Date]]</f>
        <v>3</v>
      </c>
      <c r="V524" t="str">
        <f>IF(OR(Table1[[#This Row],[Offer_Date]]="",Table1[[#This Row],[Interview_Date]]=""),"",Table1[[#This Row],[Offer_Date]]-Table1[[#This Row],[Interview_Date]])</f>
        <v/>
      </c>
    </row>
    <row r="525" spans="1:22" x14ac:dyDescent="0.3">
      <c r="A525" t="s">
        <v>580</v>
      </c>
      <c r="B525" t="s">
        <v>42</v>
      </c>
      <c r="C525" t="s">
        <v>66</v>
      </c>
      <c r="D525" t="s">
        <v>18</v>
      </c>
      <c r="E525">
        <v>32</v>
      </c>
      <c r="F525" t="s">
        <v>74</v>
      </c>
      <c r="G525" t="s">
        <v>44</v>
      </c>
      <c r="H525" t="s">
        <v>51</v>
      </c>
      <c r="I525" s="1">
        <v>44914</v>
      </c>
      <c r="J525" s="1">
        <v>44921</v>
      </c>
      <c r="K525" s="1">
        <v>44927</v>
      </c>
      <c r="L525">
        <v>5</v>
      </c>
      <c r="M525">
        <v>5</v>
      </c>
      <c r="N525" t="s">
        <v>48</v>
      </c>
      <c r="O525">
        <v>741227</v>
      </c>
      <c r="U525">
        <f>Table1[[#This Row],[Interview_Date]]-Table1[[#This Row],[Application_Date]]</f>
        <v>7</v>
      </c>
      <c r="V525">
        <f>IF(OR(Table1[[#This Row],[Offer_Date]]="",Table1[[#This Row],[Interview_Date]]=""),"",Table1[[#This Row],[Offer_Date]]-Table1[[#This Row],[Interview_Date]])</f>
        <v>6</v>
      </c>
    </row>
    <row r="526" spans="1:22" x14ac:dyDescent="0.3">
      <c r="A526" t="s">
        <v>581</v>
      </c>
      <c r="B526" t="s">
        <v>72</v>
      </c>
      <c r="C526" t="s">
        <v>25</v>
      </c>
      <c r="D526" t="s">
        <v>18</v>
      </c>
      <c r="E526">
        <v>43</v>
      </c>
      <c r="F526" t="s">
        <v>34</v>
      </c>
      <c r="G526" t="s">
        <v>35</v>
      </c>
      <c r="H526" t="s">
        <v>21</v>
      </c>
      <c r="I526" s="1">
        <v>44439</v>
      </c>
      <c r="J526" s="1">
        <v>44452</v>
      </c>
      <c r="L526">
        <v>5</v>
      </c>
      <c r="M526">
        <v>6</v>
      </c>
      <c r="N526" t="s">
        <v>28</v>
      </c>
      <c r="O526">
        <v>351979</v>
      </c>
      <c r="U526">
        <f>Table1[[#This Row],[Interview_Date]]-Table1[[#This Row],[Application_Date]]</f>
        <v>13</v>
      </c>
      <c r="V526" t="str">
        <f>IF(OR(Table1[[#This Row],[Offer_Date]]="",Table1[[#This Row],[Interview_Date]]=""),"",Table1[[#This Row],[Offer_Date]]-Table1[[#This Row],[Interview_Date]])</f>
        <v/>
      </c>
    </row>
    <row r="527" spans="1:22" x14ac:dyDescent="0.3">
      <c r="A527" t="s">
        <v>582</v>
      </c>
      <c r="B527" t="s">
        <v>24</v>
      </c>
      <c r="C527" t="s">
        <v>53</v>
      </c>
      <c r="D527" t="s">
        <v>26</v>
      </c>
      <c r="E527">
        <v>23</v>
      </c>
      <c r="F527" t="s">
        <v>56</v>
      </c>
      <c r="G527" t="s">
        <v>44</v>
      </c>
      <c r="H527" t="s">
        <v>40</v>
      </c>
      <c r="I527" s="1">
        <v>44636</v>
      </c>
      <c r="J527" s="1">
        <v>44647</v>
      </c>
      <c r="L527">
        <v>1</v>
      </c>
      <c r="M527">
        <v>4</v>
      </c>
      <c r="N527" t="s">
        <v>45</v>
      </c>
      <c r="O527">
        <v>628562</v>
      </c>
      <c r="U527">
        <f>Table1[[#This Row],[Interview_Date]]-Table1[[#This Row],[Application_Date]]</f>
        <v>11</v>
      </c>
      <c r="V527" t="str">
        <f>IF(OR(Table1[[#This Row],[Offer_Date]]="",Table1[[#This Row],[Interview_Date]]=""),"",Table1[[#This Row],[Offer_Date]]-Table1[[#This Row],[Interview_Date]])</f>
        <v/>
      </c>
    </row>
    <row r="528" spans="1:22" x14ac:dyDescent="0.3">
      <c r="A528" t="s">
        <v>583</v>
      </c>
      <c r="B528" t="s">
        <v>38</v>
      </c>
      <c r="C528" t="s">
        <v>17</v>
      </c>
      <c r="D528" t="s">
        <v>26</v>
      </c>
      <c r="E528">
        <v>43</v>
      </c>
      <c r="F528" t="s">
        <v>39</v>
      </c>
      <c r="G528" t="s">
        <v>27</v>
      </c>
      <c r="H528" t="s">
        <v>21</v>
      </c>
      <c r="I528" s="1">
        <v>44545</v>
      </c>
      <c r="J528" s="1">
        <v>44560</v>
      </c>
      <c r="K528" s="1">
        <v>44563</v>
      </c>
      <c r="L528">
        <v>5</v>
      </c>
      <c r="M528">
        <v>6</v>
      </c>
      <c r="N528" t="s">
        <v>48</v>
      </c>
      <c r="O528">
        <v>394510</v>
      </c>
      <c r="U528">
        <f>Table1[[#This Row],[Interview_Date]]-Table1[[#This Row],[Application_Date]]</f>
        <v>15</v>
      </c>
      <c r="V528">
        <f>IF(OR(Table1[[#This Row],[Offer_Date]]="",Table1[[#This Row],[Interview_Date]]=""),"",Table1[[#This Row],[Offer_Date]]-Table1[[#This Row],[Interview_Date]])</f>
        <v>3</v>
      </c>
    </row>
    <row r="529" spans="1:22" x14ac:dyDescent="0.3">
      <c r="A529" t="s">
        <v>584</v>
      </c>
      <c r="B529" t="s">
        <v>38</v>
      </c>
      <c r="C529" t="s">
        <v>30</v>
      </c>
      <c r="D529" t="s">
        <v>18</v>
      </c>
      <c r="E529">
        <v>24</v>
      </c>
      <c r="F529" t="s">
        <v>39</v>
      </c>
      <c r="G529" t="s">
        <v>44</v>
      </c>
      <c r="H529" t="s">
        <v>36</v>
      </c>
      <c r="I529" s="1">
        <v>44701</v>
      </c>
      <c r="J529" s="1">
        <v>44706</v>
      </c>
      <c r="K529" s="1">
        <v>44713</v>
      </c>
      <c r="L529">
        <v>5</v>
      </c>
      <c r="M529">
        <v>3</v>
      </c>
      <c r="N529" t="s">
        <v>45</v>
      </c>
      <c r="O529">
        <v>654755</v>
      </c>
      <c r="U529">
        <f>Table1[[#This Row],[Interview_Date]]-Table1[[#This Row],[Application_Date]]</f>
        <v>5</v>
      </c>
      <c r="V529">
        <f>IF(OR(Table1[[#This Row],[Offer_Date]]="",Table1[[#This Row],[Interview_Date]]=""),"",Table1[[#This Row],[Offer_Date]]-Table1[[#This Row],[Interview_Date]])</f>
        <v>7</v>
      </c>
    </row>
    <row r="530" spans="1:22" x14ac:dyDescent="0.3">
      <c r="A530" t="s">
        <v>585</v>
      </c>
      <c r="B530" t="s">
        <v>65</v>
      </c>
      <c r="C530" t="s">
        <v>59</v>
      </c>
      <c r="D530" t="s">
        <v>18</v>
      </c>
      <c r="E530">
        <v>30</v>
      </c>
      <c r="F530" t="s">
        <v>34</v>
      </c>
      <c r="G530" t="s">
        <v>60</v>
      </c>
      <c r="H530" t="s">
        <v>36</v>
      </c>
      <c r="I530" s="1">
        <v>44605</v>
      </c>
      <c r="J530" s="1">
        <v>44614</v>
      </c>
      <c r="L530">
        <v>4</v>
      </c>
      <c r="M530">
        <v>6</v>
      </c>
      <c r="N530" t="s">
        <v>28</v>
      </c>
      <c r="O530">
        <v>1043256</v>
      </c>
      <c r="U530">
        <f>Table1[[#This Row],[Interview_Date]]-Table1[[#This Row],[Application_Date]]</f>
        <v>9</v>
      </c>
      <c r="V530" t="str">
        <f>IF(OR(Table1[[#This Row],[Offer_Date]]="",Table1[[#This Row],[Interview_Date]]=""),"",Table1[[#This Row],[Offer_Date]]-Table1[[#This Row],[Interview_Date]])</f>
        <v/>
      </c>
    </row>
    <row r="531" spans="1:22" x14ac:dyDescent="0.3">
      <c r="A531" t="s">
        <v>586</v>
      </c>
      <c r="B531" t="s">
        <v>63</v>
      </c>
      <c r="C531" t="s">
        <v>43</v>
      </c>
      <c r="D531" t="s">
        <v>26</v>
      </c>
      <c r="E531">
        <v>27</v>
      </c>
      <c r="F531" t="s">
        <v>39</v>
      </c>
      <c r="G531" t="s">
        <v>27</v>
      </c>
      <c r="H531" t="s">
        <v>40</v>
      </c>
      <c r="I531" s="1">
        <v>45170</v>
      </c>
      <c r="J531" s="1">
        <v>45179</v>
      </c>
      <c r="K531" s="1">
        <v>45186</v>
      </c>
      <c r="L531">
        <v>1</v>
      </c>
      <c r="M531">
        <v>10</v>
      </c>
      <c r="N531" t="s">
        <v>48</v>
      </c>
      <c r="O531">
        <v>486295</v>
      </c>
      <c r="U531">
        <f>Table1[[#This Row],[Interview_Date]]-Table1[[#This Row],[Application_Date]]</f>
        <v>9</v>
      </c>
      <c r="V531">
        <f>IF(OR(Table1[[#This Row],[Offer_Date]]="",Table1[[#This Row],[Interview_Date]]=""),"",Table1[[#This Row],[Offer_Date]]-Table1[[#This Row],[Interview_Date]])</f>
        <v>7</v>
      </c>
    </row>
    <row r="532" spans="1:22" x14ac:dyDescent="0.3">
      <c r="A532" t="s">
        <v>587</v>
      </c>
      <c r="B532" t="s">
        <v>33</v>
      </c>
      <c r="C532" t="s">
        <v>17</v>
      </c>
      <c r="D532" t="s">
        <v>26</v>
      </c>
      <c r="E532">
        <v>24</v>
      </c>
      <c r="F532" t="s">
        <v>56</v>
      </c>
      <c r="G532" t="s">
        <v>27</v>
      </c>
      <c r="H532" t="s">
        <v>51</v>
      </c>
      <c r="I532" s="1">
        <v>45297</v>
      </c>
      <c r="J532" s="1">
        <v>45307</v>
      </c>
      <c r="K532" s="1">
        <v>45314</v>
      </c>
      <c r="L532">
        <v>4</v>
      </c>
      <c r="M532">
        <v>4</v>
      </c>
      <c r="N532" t="s">
        <v>48</v>
      </c>
      <c r="O532">
        <v>633759</v>
      </c>
      <c r="U532">
        <f>Table1[[#This Row],[Interview_Date]]-Table1[[#This Row],[Application_Date]]</f>
        <v>10</v>
      </c>
      <c r="V532">
        <f>IF(OR(Table1[[#This Row],[Offer_Date]]="",Table1[[#This Row],[Interview_Date]]=""),"",Table1[[#This Row],[Offer_Date]]-Table1[[#This Row],[Interview_Date]])</f>
        <v>7</v>
      </c>
    </row>
    <row r="533" spans="1:22" x14ac:dyDescent="0.3">
      <c r="A533" t="s">
        <v>588</v>
      </c>
      <c r="B533" t="s">
        <v>33</v>
      </c>
      <c r="C533" t="s">
        <v>94</v>
      </c>
      <c r="D533" t="s">
        <v>26</v>
      </c>
      <c r="E533">
        <v>40</v>
      </c>
      <c r="F533" t="s">
        <v>39</v>
      </c>
      <c r="G533" t="s">
        <v>60</v>
      </c>
      <c r="H533" t="s">
        <v>54</v>
      </c>
      <c r="I533" s="1">
        <v>45315</v>
      </c>
      <c r="J533" s="1">
        <v>45323</v>
      </c>
      <c r="K533" s="1">
        <v>45329</v>
      </c>
      <c r="L533">
        <v>5</v>
      </c>
      <c r="M533">
        <v>7</v>
      </c>
      <c r="N533" t="s">
        <v>22</v>
      </c>
      <c r="O533">
        <v>476281</v>
      </c>
      <c r="U533">
        <f>Table1[[#This Row],[Interview_Date]]-Table1[[#This Row],[Application_Date]]</f>
        <v>8</v>
      </c>
      <c r="V533">
        <f>IF(OR(Table1[[#This Row],[Offer_Date]]="",Table1[[#This Row],[Interview_Date]]=""),"",Table1[[#This Row],[Offer_Date]]-Table1[[#This Row],[Interview_Date]])</f>
        <v>6</v>
      </c>
    </row>
    <row r="534" spans="1:22" x14ac:dyDescent="0.3">
      <c r="A534" t="s">
        <v>589</v>
      </c>
      <c r="B534" t="s">
        <v>16</v>
      </c>
      <c r="C534" t="s">
        <v>43</v>
      </c>
      <c r="D534" t="s">
        <v>26</v>
      </c>
      <c r="E534">
        <v>34</v>
      </c>
      <c r="F534" t="s">
        <v>34</v>
      </c>
      <c r="G534" t="s">
        <v>27</v>
      </c>
      <c r="H534" t="s">
        <v>51</v>
      </c>
      <c r="I534" s="1">
        <v>44657</v>
      </c>
      <c r="J534" s="1">
        <v>44671</v>
      </c>
      <c r="L534">
        <v>3</v>
      </c>
      <c r="M534">
        <v>3</v>
      </c>
      <c r="N534" t="s">
        <v>45</v>
      </c>
      <c r="O534">
        <v>327082</v>
      </c>
      <c r="U534">
        <f>Table1[[#This Row],[Interview_Date]]-Table1[[#This Row],[Application_Date]]</f>
        <v>14</v>
      </c>
      <c r="V534" t="str">
        <f>IF(OR(Table1[[#This Row],[Offer_Date]]="",Table1[[#This Row],[Interview_Date]]=""),"",Table1[[#This Row],[Offer_Date]]-Table1[[#This Row],[Interview_Date]])</f>
        <v/>
      </c>
    </row>
    <row r="535" spans="1:22" x14ac:dyDescent="0.3">
      <c r="A535" t="s">
        <v>590</v>
      </c>
      <c r="B535" t="s">
        <v>72</v>
      </c>
      <c r="C535" t="s">
        <v>30</v>
      </c>
      <c r="D535" t="s">
        <v>26</v>
      </c>
      <c r="E535">
        <v>28</v>
      </c>
      <c r="F535" t="s">
        <v>74</v>
      </c>
      <c r="G535" t="s">
        <v>44</v>
      </c>
      <c r="H535" t="s">
        <v>51</v>
      </c>
      <c r="I535" s="1">
        <v>44887</v>
      </c>
      <c r="J535" s="1">
        <v>44896</v>
      </c>
      <c r="K535" s="1">
        <v>44903</v>
      </c>
      <c r="L535">
        <v>3</v>
      </c>
      <c r="M535">
        <v>7</v>
      </c>
      <c r="N535" t="s">
        <v>48</v>
      </c>
      <c r="O535">
        <v>307338</v>
      </c>
      <c r="U535">
        <f>Table1[[#This Row],[Interview_Date]]-Table1[[#This Row],[Application_Date]]</f>
        <v>9</v>
      </c>
      <c r="V535">
        <f>IF(OR(Table1[[#This Row],[Offer_Date]]="",Table1[[#This Row],[Interview_Date]]=""),"",Table1[[#This Row],[Offer_Date]]-Table1[[#This Row],[Interview_Date]])</f>
        <v>7</v>
      </c>
    </row>
    <row r="536" spans="1:22" x14ac:dyDescent="0.3">
      <c r="A536" t="s">
        <v>591</v>
      </c>
      <c r="B536" t="s">
        <v>63</v>
      </c>
      <c r="C536" t="s">
        <v>30</v>
      </c>
      <c r="D536" t="s">
        <v>18</v>
      </c>
      <c r="E536">
        <v>41</v>
      </c>
      <c r="F536" t="s">
        <v>39</v>
      </c>
      <c r="G536" t="s">
        <v>27</v>
      </c>
      <c r="H536" t="s">
        <v>36</v>
      </c>
      <c r="I536" s="1">
        <v>44637</v>
      </c>
      <c r="J536" s="1">
        <v>44645</v>
      </c>
      <c r="K536" s="1">
        <v>44651</v>
      </c>
      <c r="L536">
        <v>2</v>
      </c>
      <c r="M536">
        <v>2</v>
      </c>
      <c r="N536" t="s">
        <v>22</v>
      </c>
      <c r="O536">
        <v>917078</v>
      </c>
      <c r="U536">
        <f>Table1[[#This Row],[Interview_Date]]-Table1[[#This Row],[Application_Date]]</f>
        <v>8</v>
      </c>
      <c r="V536">
        <f>IF(OR(Table1[[#This Row],[Offer_Date]]="",Table1[[#This Row],[Interview_Date]]=""),"",Table1[[#This Row],[Offer_Date]]-Table1[[#This Row],[Interview_Date]])</f>
        <v>6</v>
      </c>
    </row>
    <row r="537" spans="1:22" x14ac:dyDescent="0.3">
      <c r="A537" t="s">
        <v>592</v>
      </c>
      <c r="B537" t="s">
        <v>42</v>
      </c>
      <c r="C537" t="s">
        <v>66</v>
      </c>
      <c r="D537" t="s">
        <v>26</v>
      </c>
      <c r="E537">
        <v>23</v>
      </c>
      <c r="F537" t="s">
        <v>31</v>
      </c>
      <c r="G537" t="s">
        <v>35</v>
      </c>
      <c r="H537" t="s">
        <v>54</v>
      </c>
      <c r="I537" s="1">
        <v>45186</v>
      </c>
      <c r="J537" s="1">
        <v>45197</v>
      </c>
      <c r="L537">
        <v>5</v>
      </c>
      <c r="M537">
        <v>4</v>
      </c>
      <c r="N537" t="s">
        <v>45</v>
      </c>
      <c r="O537">
        <v>547066</v>
      </c>
      <c r="U537">
        <f>Table1[[#This Row],[Interview_Date]]-Table1[[#This Row],[Application_Date]]</f>
        <v>11</v>
      </c>
      <c r="V537" t="str">
        <f>IF(OR(Table1[[#This Row],[Offer_Date]]="",Table1[[#This Row],[Interview_Date]]=""),"",Table1[[#This Row],[Offer_Date]]-Table1[[#This Row],[Interview_Date]])</f>
        <v/>
      </c>
    </row>
    <row r="538" spans="1:22" x14ac:dyDescent="0.3">
      <c r="A538" t="s">
        <v>593</v>
      </c>
      <c r="B538" t="s">
        <v>58</v>
      </c>
      <c r="C538" t="s">
        <v>17</v>
      </c>
      <c r="D538" t="s">
        <v>26</v>
      </c>
      <c r="E538">
        <v>27</v>
      </c>
      <c r="F538" t="s">
        <v>19</v>
      </c>
      <c r="G538" t="s">
        <v>35</v>
      </c>
      <c r="H538" t="s">
        <v>36</v>
      </c>
      <c r="I538" s="1">
        <v>44539</v>
      </c>
      <c r="J538" s="1">
        <v>44553</v>
      </c>
      <c r="K538" s="1">
        <v>44555</v>
      </c>
      <c r="L538">
        <v>3</v>
      </c>
      <c r="M538">
        <v>10</v>
      </c>
      <c r="N538" t="s">
        <v>48</v>
      </c>
      <c r="O538">
        <v>882091</v>
      </c>
      <c r="U538">
        <f>Table1[[#This Row],[Interview_Date]]-Table1[[#This Row],[Application_Date]]</f>
        <v>14</v>
      </c>
      <c r="V538">
        <f>IF(OR(Table1[[#This Row],[Offer_Date]]="",Table1[[#This Row],[Interview_Date]]=""),"",Table1[[#This Row],[Offer_Date]]-Table1[[#This Row],[Interview_Date]])</f>
        <v>2</v>
      </c>
    </row>
    <row r="539" spans="1:22" x14ac:dyDescent="0.3">
      <c r="A539" t="s">
        <v>594</v>
      </c>
      <c r="B539" t="s">
        <v>58</v>
      </c>
      <c r="C539" t="s">
        <v>66</v>
      </c>
      <c r="D539" t="s">
        <v>26</v>
      </c>
      <c r="E539">
        <v>30</v>
      </c>
      <c r="F539" t="s">
        <v>39</v>
      </c>
      <c r="G539" t="s">
        <v>35</v>
      </c>
      <c r="H539" t="s">
        <v>40</v>
      </c>
      <c r="I539" s="1">
        <v>44409</v>
      </c>
      <c r="J539" s="1">
        <v>44422</v>
      </c>
      <c r="L539">
        <v>4</v>
      </c>
      <c r="M539">
        <v>4</v>
      </c>
      <c r="N539" t="s">
        <v>22</v>
      </c>
      <c r="O539">
        <v>644038</v>
      </c>
      <c r="U539">
        <f>Table1[[#This Row],[Interview_Date]]-Table1[[#This Row],[Application_Date]]</f>
        <v>13</v>
      </c>
      <c r="V539" t="str">
        <f>IF(OR(Table1[[#This Row],[Offer_Date]]="",Table1[[#This Row],[Interview_Date]]=""),"",Table1[[#This Row],[Offer_Date]]-Table1[[#This Row],[Interview_Date]])</f>
        <v/>
      </c>
    </row>
    <row r="540" spans="1:22" x14ac:dyDescent="0.3">
      <c r="A540" t="s">
        <v>595</v>
      </c>
      <c r="B540" t="s">
        <v>63</v>
      </c>
      <c r="C540" t="s">
        <v>66</v>
      </c>
      <c r="D540" t="s">
        <v>18</v>
      </c>
      <c r="E540">
        <v>40</v>
      </c>
      <c r="F540" t="s">
        <v>56</v>
      </c>
      <c r="G540" t="s">
        <v>20</v>
      </c>
      <c r="H540" t="s">
        <v>51</v>
      </c>
      <c r="I540" s="1">
        <v>44683</v>
      </c>
      <c r="J540" s="1">
        <v>44691</v>
      </c>
      <c r="L540">
        <v>5</v>
      </c>
      <c r="M540">
        <v>4</v>
      </c>
      <c r="N540" t="s">
        <v>48</v>
      </c>
      <c r="O540">
        <v>1162222</v>
      </c>
      <c r="U540">
        <f>Table1[[#This Row],[Interview_Date]]-Table1[[#This Row],[Application_Date]]</f>
        <v>8</v>
      </c>
      <c r="V540" t="str">
        <f>IF(OR(Table1[[#This Row],[Offer_Date]]="",Table1[[#This Row],[Interview_Date]]=""),"",Table1[[#This Row],[Offer_Date]]-Table1[[#This Row],[Interview_Date]])</f>
        <v/>
      </c>
    </row>
    <row r="541" spans="1:22" x14ac:dyDescent="0.3">
      <c r="A541" t="s">
        <v>596</v>
      </c>
      <c r="B541" t="s">
        <v>47</v>
      </c>
      <c r="C541" t="s">
        <v>53</v>
      </c>
      <c r="D541" t="s">
        <v>26</v>
      </c>
      <c r="E541">
        <v>36</v>
      </c>
      <c r="F541" t="s">
        <v>74</v>
      </c>
      <c r="G541" t="s">
        <v>20</v>
      </c>
      <c r="H541" t="s">
        <v>40</v>
      </c>
      <c r="I541" s="1">
        <v>44555</v>
      </c>
      <c r="J541" s="1">
        <v>44569</v>
      </c>
      <c r="L541">
        <v>2</v>
      </c>
      <c r="M541">
        <v>2</v>
      </c>
      <c r="N541" t="s">
        <v>45</v>
      </c>
      <c r="O541">
        <v>1184262</v>
      </c>
      <c r="U541">
        <f>Table1[[#This Row],[Interview_Date]]-Table1[[#This Row],[Application_Date]]</f>
        <v>14</v>
      </c>
      <c r="V541" t="str">
        <f>IF(OR(Table1[[#This Row],[Offer_Date]]="",Table1[[#This Row],[Interview_Date]]=""),"",Table1[[#This Row],[Offer_Date]]-Table1[[#This Row],[Interview_Date]])</f>
        <v/>
      </c>
    </row>
    <row r="542" spans="1:22" x14ac:dyDescent="0.3">
      <c r="A542" t="s">
        <v>597</v>
      </c>
      <c r="B542" t="s">
        <v>38</v>
      </c>
      <c r="C542" t="s">
        <v>50</v>
      </c>
      <c r="D542" t="s">
        <v>26</v>
      </c>
      <c r="E542">
        <v>42</v>
      </c>
      <c r="F542" t="s">
        <v>74</v>
      </c>
      <c r="G542" t="s">
        <v>35</v>
      </c>
      <c r="H542" t="s">
        <v>36</v>
      </c>
      <c r="I542" s="1">
        <v>44912</v>
      </c>
      <c r="J542" s="1">
        <v>44918</v>
      </c>
      <c r="L542">
        <v>5</v>
      </c>
      <c r="M542">
        <v>6</v>
      </c>
      <c r="N542" t="s">
        <v>45</v>
      </c>
      <c r="O542">
        <v>701275</v>
      </c>
      <c r="U542">
        <f>Table1[[#This Row],[Interview_Date]]-Table1[[#This Row],[Application_Date]]</f>
        <v>6</v>
      </c>
      <c r="V542" t="str">
        <f>IF(OR(Table1[[#This Row],[Offer_Date]]="",Table1[[#This Row],[Interview_Date]]=""),"",Table1[[#This Row],[Offer_Date]]-Table1[[#This Row],[Interview_Date]])</f>
        <v/>
      </c>
    </row>
    <row r="543" spans="1:22" x14ac:dyDescent="0.3">
      <c r="A543" t="s">
        <v>598</v>
      </c>
      <c r="B543" t="s">
        <v>38</v>
      </c>
      <c r="C543" t="s">
        <v>50</v>
      </c>
      <c r="D543" t="s">
        <v>18</v>
      </c>
      <c r="E543">
        <v>40</v>
      </c>
      <c r="F543" t="s">
        <v>74</v>
      </c>
      <c r="G543" t="s">
        <v>20</v>
      </c>
      <c r="H543" t="s">
        <v>40</v>
      </c>
      <c r="I543" s="1">
        <v>45247</v>
      </c>
      <c r="J543" s="1">
        <v>45257</v>
      </c>
      <c r="L543">
        <v>3</v>
      </c>
      <c r="M543">
        <v>7</v>
      </c>
      <c r="N543" t="s">
        <v>48</v>
      </c>
      <c r="O543">
        <v>550120</v>
      </c>
      <c r="U543">
        <f>Table1[[#This Row],[Interview_Date]]-Table1[[#This Row],[Application_Date]]</f>
        <v>10</v>
      </c>
      <c r="V543" t="str">
        <f>IF(OR(Table1[[#This Row],[Offer_Date]]="",Table1[[#This Row],[Interview_Date]]=""),"",Table1[[#This Row],[Offer_Date]]-Table1[[#This Row],[Interview_Date]])</f>
        <v/>
      </c>
    </row>
    <row r="544" spans="1:22" x14ac:dyDescent="0.3">
      <c r="A544" t="s">
        <v>599</v>
      </c>
      <c r="B544" t="s">
        <v>63</v>
      </c>
      <c r="C544" t="s">
        <v>30</v>
      </c>
      <c r="D544" t="s">
        <v>26</v>
      </c>
      <c r="E544">
        <v>41</v>
      </c>
      <c r="F544" t="s">
        <v>34</v>
      </c>
      <c r="G544" t="s">
        <v>35</v>
      </c>
      <c r="H544" t="s">
        <v>51</v>
      </c>
      <c r="I544" s="1">
        <v>45135</v>
      </c>
      <c r="J544" s="1">
        <v>45150</v>
      </c>
      <c r="K544" s="1">
        <v>45157</v>
      </c>
      <c r="L544">
        <v>3</v>
      </c>
      <c r="M544">
        <v>10</v>
      </c>
      <c r="N544" t="s">
        <v>22</v>
      </c>
      <c r="O544">
        <v>996002</v>
      </c>
      <c r="U544">
        <f>Table1[[#This Row],[Interview_Date]]-Table1[[#This Row],[Application_Date]]</f>
        <v>15</v>
      </c>
      <c r="V544">
        <f>IF(OR(Table1[[#This Row],[Offer_Date]]="",Table1[[#This Row],[Interview_Date]]=""),"",Table1[[#This Row],[Offer_Date]]-Table1[[#This Row],[Interview_Date]])</f>
        <v>7</v>
      </c>
    </row>
    <row r="545" spans="1:22" x14ac:dyDescent="0.3">
      <c r="A545" t="s">
        <v>600</v>
      </c>
      <c r="B545" t="s">
        <v>65</v>
      </c>
      <c r="C545" t="s">
        <v>25</v>
      </c>
      <c r="D545" t="s">
        <v>18</v>
      </c>
      <c r="E545">
        <v>40</v>
      </c>
      <c r="F545" t="s">
        <v>31</v>
      </c>
      <c r="G545" t="s">
        <v>44</v>
      </c>
      <c r="H545" t="s">
        <v>40</v>
      </c>
      <c r="I545" s="1">
        <v>45386</v>
      </c>
      <c r="J545" s="1">
        <v>45401</v>
      </c>
      <c r="L545">
        <v>4</v>
      </c>
      <c r="M545">
        <v>5</v>
      </c>
      <c r="N545" t="s">
        <v>48</v>
      </c>
      <c r="O545">
        <v>743073</v>
      </c>
      <c r="U545">
        <f>Table1[[#This Row],[Interview_Date]]-Table1[[#This Row],[Application_Date]]</f>
        <v>15</v>
      </c>
      <c r="V545" t="str">
        <f>IF(OR(Table1[[#This Row],[Offer_Date]]="",Table1[[#This Row],[Interview_Date]]=""),"",Table1[[#This Row],[Offer_Date]]-Table1[[#This Row],[Interview_Date]])</f>
        <v/>
      </c>
    </row>
    <row r="546" spans="1:22" x14ac:dyDescent="0.3">
      <c r="A546" t="s">
        <v>601</v>
      </c>
      <c r="B546" t="s">
        <v>33</v>
      </c>
      <c r="C546" t="s">
        <v>66</v>
      </c>
      <c r="D546" t="s">
        <v>26</v>
      </c>
      <c r="E546">
        <v>22</v>
      </c>
      <c r="F546" t="s">
        <v>19</v>
      </c>
      <c r="G546" t="s">
        <v>20</v>
      </c>
      <c r="H546" t="s">
        <v>51</v>
      </c>
      <c r="I546" s="1">
        <v>44765</v>
      </c>
      <c r="J546" s="1">
        <v>44779</v>
      </c>
      <c r="L546">
        <v>1</v>
      </c>
      <c r="M546">
        <v>10</v>
      </c>
      <c r="N546" t="s">
        <v>22</v>
      </c>
      <c r="O546">
        <v>836479</v>
      </c>
      <c r="U546">
        <f>Table1[[#This Row],[Interview_Date]]-Table1[[#This Row],[Application_Date]]</f>
        <v>14</v>
      </c>
      <c r="V546" t="str">
        <f>IF(OR(Table1[[#This Row],[Offer_Date]]="",Table1[[#This Row],[Interview_Date]]=""),"",Table1[[#This Row],[Offer_Date]]-Table1[[#This Row],[Interview_Date]])</f>
        <v/>
      </c>
    </row>
    <row r="547" spans="1:22" x14ac:dyDescent="0.3">
      <c r="A547" t="s">
        <v>602</v>
      </c>
      <c r="B547" t="s">
        <v>33</v>
      </c>
      <c r="C547" t="s">
        <v>66</v>
      </c>
      <c r="D547" t="s">
        <v>18</v>
      </c>
      <c r="E547">
        <v>36</v>
      </c>
      <c r="F547" t="s">
        <v>31</v>
      </c>
      <c r="G547" t="s">
        <v>27</v>
      </c>
      <c r="H547" t="s">
        <v>21</v>
      </c>
      <c r="I547" s="1">
        <v>44345</v>
      </c>
      <c r="J547" s="1">
        <v>44355</v>
      </c>
      <c r="K547" s="1">
        <v>44361</v>
      </c>
      <c r="L547">
        <v>4</v>
      </c>
      <c r="M547">
        <v>4</v>
      </c>
      <c r="N547" t="s">
        <v>48</v>
      </c>
      <c r="O547">
        <v>1064497</v>
      </c>
      <c r="U547">
        <f>Table1[[#This Row],[Interview_Date]]-Table1[[#This Row],[Application_Date]]</f>
        <v>10</v>
      </c>
      <c r="V547">
        <f>IF(OR(Table1[[#This Row],[Offer_Date]]="",Table1[[#This Row],[Interview_Date]]=""),"",Table1[[#This Row],[Offer_Date]]-Table1[[#This Row],[Interview_Date]])</f>
        <v>6</v>
      </c>
    </row>
    <row r="548" spans="1:22" x14ac:dyDescent="0.3">
      <c r="A548" t="s">
        <v>603</v>
      </c>
      <c r="B548" t="s">
        <v>72</v>
      </c>
      <c r="C548" t="s">
        <v>59</v>
      </c>
      <c r="D548" t="s">
        <v>26</v>
      </c>
      <c r="E548">
        <v>35</v>
      </c>
      <c r="F548" t="s">
        <v>56</v>
      </c>
      <c r="G548" t="s">
        <v>27</v>
      </c>
      <c r="H548" t="s">
        <v>21</v>
      </c>
      <c r="I548" s="1">
        <v>44965</v>
      </c>
      <c r="J548" s="1">
        <v>44977</v>
      </c>
      <c r="L548">
        <v>1</v>
      </c>
      <c r="M548">
        <v>9</v>
      </c>
      <c r="N548" t="s">
        <v>28</v>
      </c>
      <c r="O548">
        <v>1102324</v>
      </c>
      <c r="U548">
        <f>Table1[[#This Row],[Interview_Date]]-Table1[[#This Row],[Application_Date]]</f>
        <v>12</v>
      </c>
      <c r="V548" t="str">
        <f>IF(OR(Table1[[#This Row],[Offer_Date]]="",Table1[[#This Row],[Interview_Date]]=""),"",Table1[[#This Row],[Offer_Date]]-Table1[[#This Row],[Interview_Date]])</f>
        <v/>
      </c>
    </row>
    <row r="549" spans="1:22" x14ac:dyDescent="0.3">
      <c r="A549" t="s">
        <v>604</v>
      </c>
      <c r="B549" t="s">
        <v>16</v>
      </c>
      <c r="C549" t="s">
        <v>43</v>
      </c>
      <c r="D549" t="s">
        <v>26</v>
      </c>
      <c r="E549">
        <v>21</v>
      </c>
      <c r="F549" t="s">
        <v>34</v>
      </c>
      <c r="G549" t="s">
        <v>60</v>
      </c>
      <c r="H549" t="s">
        <v>51</v>
      </c>
      <c r="I549" s="1">
        <v>44304</v>
      </c>
      <c r="J549" s="1">
        <v>44307</v>
      </c>
      <c r="L549">
        <v>1</v>
      </c>
      <c r="M549">
        <v>3</v>
      </c>
      <c r="N549" t="s">
        <v>28</v>
      </c>
      <c r="O549">
        <v>939184</v>
      </c>
      <c r="U549">
        <f>Table1[[#This Row],[Interview_Date]]-Table1[[#This Row],[Application_Date]]</f>
        <v>3</v>
      </c>
      <c r="V549" t="str">
        <f>IF(OR(Table1[[#This Row],[Offer_Date]]="",Table1[[#This Row],[Interview_Date]]=""),"",Table1[[#This Row],[Offer_Date]]-Table1[[#This Row],[Interview_Date]])</f>
        <v/>
      </c>
    </row>
    <row r="550" spans="1:22" x14ac:dyDescent="0.3">
      <c r="A550" t="s">
        <v>605</v>
      </c>
      <c r="B550" t="s">
        <v>63</v>
      </c>
      <c r="C550" t="s">
        <v>94</v>
      </c>
      <c r="D550" t="s">
        <v>26</v>
      </c>
      <c r="E550">
        <v>40</v>
      </c>
      <c r="F550" t="s">
        <v>19</v>
      </c>
      <c r="G550" t="s">
        <v>27</v>
      </c>
      <c r="H550" t="s">
        <v>51</v>
      </c>
      <c r="I550" s="1">
        <v>44463</v>
      </c>
      <c r="J550" s="1">
        <v>44478</v>
      </c>
      <c r="K550" s="1">
        <v>44484</v>
      </c>
      <c r="L550">
        <v>2</v>
      </c>
      <c r="M550">
        <v>4</v>
      </c>
      <c r="N550" t="s">
        <v>22</v>
      </c>
      <c r="O550">
        <v>1019188</v>
      </c>
      <c r="U550">
        <f>Table1[[#This Row],[Interview_Date]]-Table1[[#This Row],[Application_Date]]</f>
        <v>15</v>
      </c>
      <c r="V550">
        <f>IF(OR(Table1[[#This Row],[Offer_Date]]="",Table1[[#This Row],[Interview_Date]]=""),"",Table1[[#This Row],[Offer_Date]]-Table1[[#This Row],[Interview_Date]])</f>
        <v>6</v>
      </c>
    </row>
    <row r="551" spans="1:22" x14ac:dyDescent="0.3">
      <c r="A551" t="s">
        <v>606</v>
      </c>
      <c r="B551" t="s">
        <v>72</v>
      </c>
      <c r="C551" t="s">
        <v>30</v>
      </c>
      <c r="D551" t="s">
        <v>18</v>
      </c>
      <c r="E551">
        <v>39</v>
      </c>
      <c r="F551" t="s">
        <v>74</v>
      </c>
      <c r="G551" t="s">
        <v>35</v>
      </c>
      <c r="H551" t="s">
        <v>21</v>
      </c>
      <c r="I551" s="1">
        <v>44474</v>
      </c>
      <c r="J551" s="1">
        <v>44486</v>
      </c>
      <c r="L551">
        <v>5</v>
      </c>
      <c r="M551">
        <v>2</v>
      </c>
      <c r="N551" t="s">
        <v>22</v>
      </c>
      <c r="O551">
        <v>771567</v>
      </c>
      <c r="U551">
        <f>Table1[[#This Row],[Interview_Date]]-Table1[[#This Row],[Application_Date]]</f>
        <v>12</v>
      </c>
      <c r="V551" t="str">
        <f>IF(OR(Table1[[#This Row],[Offer_Date]]="",Table1[[#This Row],[Interview_Date]]=""),"",Table1[[#This Row],[Offer_Date]]-Table1[[#This Row],[Interview_Date]])</f>
        <v/>
      </c>
    </row>
    <row r="552" spans="1:22" x14ac:dyDescent="0.3">
      <c r="A552" t="s">
        <v>607</v>
      </c>
      <c r="B552" t="s">
        <v>63</v>
      </c>
      <c r="C552" t="s">
        <v>43</v>
      </c>
      <c r="D552" t="s">
        <v>26</v>
      </c>
      <c r="E552">
        <v>39</v>
      </c>
      <c r="F552" t="s">
        <v>34</v>
      </c>
      <c r="G552" t="s">
        <v>27</v>
      </c>
      <c r="H552" t="s">
        <v>54</v>
      </c>
      <c r="I552" s="1">
        <v>44826</v>
      </c>
      <c r="J552" s="1">
        <v>44829</v>
      </c>
      <c r="L552">
        <v>5</v>
      </c>
      <c r="M552">
        <v>3</v>
      </c>
      <c r="N552" t="s">
        <v>48</v>
      </c>
      <c r="O552">
        <v>441706</v>
      </c>
      <c r="U552">
        <f>Table1[[#This Row],[Interview_Date]]-Table1[[#This Row],[Application_Date]]</f>
        <v>3</v>
      </c>
      <c r="V552" t="str">
        <f>IF(OR(Table1[[#This Row],[Offer_Date]]="",Table1[[#This Row],[Interview_Date]]=""),"",Table1[[#This Row],[Offer_Date]]-Table1[[#This Row],[Interview_Date]])</f>
        <v/>
      </c>
    </row>
    <row r="553" spans="1:22" x14ac:dyDescent="0.3">
      <c r="A553" t="s">
        <v>608</v>
      </c>
      <c r="B553" t="s">
        <v>58</v>
      </c>
      <c r="C553" t="s">
        <v>94</v>
      </c>
      <c r="D553" t="s">
        <v>26</v>
      </c>
      <c r="E553">
        <v>34</v>
      </c>
      <c r="F553" t="s">
        <v>34</v>
      </c>
      <c r="G553" t="s">
        <v>35</v>
      </c>
      <c r="H553" t="s">
        <v>21</v>
      </c>
      <c r="I553" s="1">
        <v>44758</v>
      </c>
      <c r="J553" s="1">
        <v>44761</v>
      </c>
      <c r="K553" s="1">
        <v>44765</v>
      </c>
      <c r="L553">
        <v>2</v>
      </c>
      <c r="M553">
        <v>7</v>
      </c>
      <c r="N553" t="s">
        <v>45</v>
      </c>
      <c r="O553">
        <v>365030</v>
      </c>
      <c r="U553">
        <f>Table1[[#This Row],[Interview_Date]]-Table1[[#This Row],[Application_Date]]</f>
        <v>3</v>
      </c>
      <c r="V553">
        <f>IF(OR(Table1[[#This Row],[Offer_Date]]="",Table1[[#This Row],[Interview_Date]]=""),"",Table1[[#This Row],[Offer_Date]]-Table1[[#This Row],[Interview_Date]])</f>
        <v>4</v>
      </c>
    </row>
    <row r="554" spans="1:22" x14ac:dyDescent="0.3">
      <c r="A554" t="s">
        <v>609</v>
      </c>
      <c r="B554" t="s">
        <v>65</v>
      </c>
      <c r="C554" t="s">
        <v>43</v>
      </c>
      <c r="D554" t="s">
        <v>18</v>
      </c>
      <c r="E554">
        <v>32</v>
      </c>
      <c r="F554" t="s">
        <v>39</v>
      </c>
      <c r="G554" t="s">
        <v>27</v>
      </c>
      <c r="H554" t="s">
        <v>54</v>
      </c>
      <c r="I554" s="1">
        <v>44522</v>
      </c>
      <c r="J554" s="1">
        <v>44533</v>
      </c>
      <c r="L554">
        <v>1</v>
      </c>
      <c r="M554">
        <v>2</v>
      </c>
      <c r="N554" t="s">
        <v>28</v>
      </c>
      <c r="O554">
        <v>527380</v>
      </c>
      <c r="U554">
        <f>Table1[[#This Row],[Interview_Date]]-Table1[[#This Row],[Application_Date]]</f>
        <v>11</v>
      </c>
      <c r="V554" t="str">
        <f>IF(OR(Table1[[#This Row],[Offer_Date]]="",Table1[[#This Row],[Interview_Date]]=""),"",Table1[[#This Row],[Offer_Date]]-Table1[[#This Row],[Interview_Date]])</f>
        <v/>
      </c>
    </row>
    <row r="555" spans="1:22" x14ac:dyDescent="0.3">
      <c r="A555" t="s">
        <v>610</v>
      </c>
      <c r="B555" t="s">
        <v>65</v>
      </c>
      <c r="C555" t="s">
        <v>25</v>
      </c>
      <c r="D555" t="s">
        <v>18</v>
      </c>
      <c r="E555">
        <v>29</v>
      </c>
      <c r="F555" t="s">
        <v>39</v>
      </c>
      <c r="G555" t="s">
        <v>35</v>
      </c>
      <c r="H555" t="s">
        <v>40</v>
      </c>
      <c r="I555" s="1">
        <v>44356</v>
      </c>
      <c r="J555" s="1">
        <v>44359</v>
      </c>
      <c r="L555">
        <v>4</v>
      </c>
      <c r="M555">
        <v>10</v>
      </c>
      <c r="N555" t="s">
        <v>22</v>
      </c>
      <c r="O555">
        <v>1009604</v>
      </c>
      <c r="U555">
        <f>Table1[[#This Row],[Interview_Date]]-Table1[[#This Row],[Application_Date]]</f>
        <v>3</v>
      </c>
      <c r="V555" t="str">
        <f>IF(OR(Table1[[#This Row],[Offer_Date]]="",Table1[[#This Row],[Interview_Date]]=""),"",Table1[[#This Row],[Offer_Date]]-Table1[[#This Row],[Interview_Date]])</f>
        <v/>
      </c>
    </row>
    <row r="556" spans="1:22" x14ac:dyDescent="0.3">
      <c r="A556" t="s">
        <v>611</v>
      </c>
      <c r="B556" t="s">
        <v>24</v>
      </c>
      <c r="C556" t="s">
        <v>17</v>
      </c>
      <c r="D556" t="s">
        <v>26</v>
      </c>
      <c r="E556">
        <v>21</v>
      </c>
      <c r="F556" t="s">
        <v>39</v>
      </c>
      <c r="G556" t="s">
        <v>44</v>
      </c>
      <c r="H556" t="s">
        <v>51</v>
      </c>
      <c r="I556" s="1">
        <v>44554</v>
      </c>
      <c r="J556" s="1">
        <v>44565</v>
      </c>
      <c r="K556" s="1">
        <v>44570</v>
      </c>
      <c r="L556">
        <v>3</v>
      </c>
      <c r="M556">
        <v>9</v>
      </c>
      <c r="N556" t="s">
        <v>45</v>
      </c>
      <c r="O556">
        <v>783927</v>
      </c>
      <c r="U556">
        <f>Table1[[#This Row],[Interview_Date]]-Table1[[#This Row],[Application_Date]]</f>
        <v>11</v>
      </c>
      <c r="V556">
        <f>IF(OR(Table1[[#This Row],[Offer_Date]]="",Table1[[#This Row],[Interview_Date]]=""),"",Table1[[#This Row],[Offer_Date]]-Table1[[#This Row],[Interview_Date]])</f>
        <v>5</v>
      </c>
    </row>
    <row r="557" spans="1:22" x14ac:dyDescent="0.3">
      <c r="A557" t="s">
        <v>612</v>
      </c>
      <c r="B557" t="s">
        <v>47</v>
      </c>
      <c r="C557" t="s">
        <v>69</v>
      </c>
      <c r="D557" t="s">
        <v>18</v>
      </c>
      <c r="E557">
        <v>25</v>
      </c>
      <c r="F557" t="s">
        <v>34</v>
      </c>
      <c r="G557" t="s">
        <v>44</v>
      </c>
      <c r="H557" t="s">
        <v>40</v>
      </c>
      <c r="I557" s="1">
        <v>44395</v>
      </c>
      <c r="J557" s="1">
        <v>44407</v>
      </c>
      <c r="K557" s="1">
        <v>44412</v>
      </c>
      <c r="L557">
        <v>2</v>
      </c>
      <c r="M557">
        <v>6</v>
      </c>
      <c r="N557" t="s">
        <v>28</v>
      </c>
      <c r="O557">
        <v>1173284</v>
      </c>
      <c r="U557">
        <f>Table1[[#This Row],[Interview_Date]]-Table1[[#This Row],[Application_Date]]</f>
        <v>12</v>
      </c>
      <c r="V557">
        <f>IF(OR(Table1[[#This Row],[Offer_Date]]="",Table1[[#This Row],[Interview_Date]]=""),"",Table1[[#This Row],[Offer_Date]]-Table1[[#This Row],[Interview_Date]])</f>
        <v>5</v>
      </c>
    </row>
    <row r="558" spans="1:22" x14ac:dyDescent="0.3">
      <c r="A558" t="s">
        <v>613</v>
      </c>
      <c r="B558" t="s">
        <v>24</v>
      </c>
      <c r="C558" t="s">
        <v>25</v>
      </c>
      <c r="D558" t="s">
        <v>18</v>
      </c>
      <c r="E558">
        <v>24</v>
      </c>
      <c r="F558" t="s">
        <v>39</v>
      </c>
      <c r="G558" t="s">
        <v>60</v>
      </c>
      <c r="H558" t="s">
        <v>54</v>
      </c>
      <c r="I558" s="1">
        <v>45286</v>
      </c>
      <c r="J558" s="1">
        <v>45296</v>
      </c>
      <c r="L558">
        <v>2</v>
      </c>
      <c r="M558">
        <v>8</v>
      </c>
      <c r="N558" t="s">
        <v>22</v>
      </c>
      <c r="O558">
        <v>648294</v>
      </c>
      <c r="U558">
        <f>Table1[[#This Row],[Interview_Date]]-Table1[[#This Row],[Application_Date]]</f>
        <v>10</v>
      </c>
      <c r="V558" t="str">
        <f>IF(OR(Table1[[#This Row],[Offer_Date]]="",Table1[[#This Row],[Interview_Date]]=""),"",Table1[[#This Row],[Offer_Date]]-Table1[[#This Row],[Interview_Date]])</f>
        <v/>
      </c>
    </row>
    <row r="559" spans="1:22" x14ac:dyDescent="0.3">
      <c r="A559" t="s">
        <v>614</v>
      </c>
      <c r="B559" t="s">
        <v>33</v>
      </c>
      <c r="C559" t="s">
        <v>30</v>
      </c>
      <c r="D559" t="s">
        <v>26</v>
      </c>
      <c r="E559">
        <v>33</v>
      </c>
      <c r="F559" t="s">
        <v>31</v>
      </c>
      <c r="G559" t="s">
        <v>44</v>
      </c>
      <c r="H559" t="s">
        <v>21</v>
      </c>
      <c r="I559" s="1">
        <v>44390</v>
      </c>
      <c r="J559" s="1">
        <v>44393</v>
      </c>
      <c r="K559" s="1">
        <v>44397</v>
      </c>
      <c r="L559">
        <v>3</v>
      </c>
      <c r="M559">
        <v>10</v>
      </c>
      <c r="N559" t="s">
        <v>48</v>
      </c>
      <c r="O559">
        <v>874685</v>
      </c>
      <c r="U559">
        <f>Table1[[#This Row],[Interview_Date]]-Table1[[#This Row],[Application_Date]]</f>
        <v>3</v>
      </c>
      <c r="V559">
        <f>IF(OR(Table1[[#This Row],[Offer_Date]]="",Table1[[#This Row],[Interview_Date]]=""),"",Table1[[#This Row],[Offer_Date]]-Table1[[#This Row],[Interview_Date]])</f>
        <v>4</v>
      </c>
    </row>
    <row r="560" spans="1:22" x14ac:dyDescent="0.3">
      <c r="A560" t="s">
        <v>615</v>
      </c>
      <c r="B560" t="s">
        <v>33</v>
      </c>
      <c r="C560" t="s">
        <v>50</v>
      </c>
      <c r="D560" t="s">
        <v>26</v>
      </c>
      <c r="E560">
        <v>23</v>
      </c>
      <c r="F560" t="s">
        <v>56</v>
      </c>
      <c r="G560" t="s">
        <v>44</v>
      </c>
      <c r="H560" t="s">
        <v>40</v>
      </c>
      <c r="I560" s="1">
        <v>45391</v>
      </c>
      <c r="J560" s="1">
        <v>45401</v>
      </c>
      <c r="L560">
        <v>4</v>
      </c>
      <c r="M560">
        <v>6</v>
      </c>
      <c r="N560" t="s">
        <v>22</v>
      </c>
      <c r="O560">
        <v>830781</v>
      </c>
      <c r="U560">
        <f>Table1[[#This Row],[Interview_Date]]-Table1[[#This Row],[Application_Date]]</f>
        <v>10</v>
      </c>
      <c r="V560" t="str">
        <f>IF(OR(Table1[[#This Row],[Offer_Date]]="",Table1[[#This Row],[Interview_Date]]=""),"",Table1[[#This Row],[Offer_Date]]-Table1[[#This Row],[Interview_Date]])</f>
        <v/>
      </c>
    </row>
    <row r="561" spans="1:22" x14ac:dyDescent="0.3">
      <c r="A561" t="s">
        <v>616</v>
      </c>
      <c r="B561" t="s">
        <v>24</v>
      </c>
      <c r="C561" t="s">
        <v>59</v>
      </c>
      <c r="D561" t="s">
        <v>26</v>
      </c>
      <c r="E561">
        <v>31</v>
      </c>
      <c r="F561" t="s">
        <v>31</v>
      </c>
      <c r="G561" t="s">
        <v>35</v>
      </c>
      <c r="H561" t="s">
        <v>51</v>
      </c>
      <c r="I561" s="1">
        <v>44842</v>
      </c>
      <c r="J561" s="1">
        <v>44851</v>
      </c>
      <c r="K561" s="1">
        <v>44857</v>
      </c>
      <c r="L561">
        <v>1</v>
      </c>
      <c r="M561">
        <v>7</v>
      </c>
      <c r="N561" t="s">
        <v>48</v>
      </c>
      <c r="O561">
        <v>399484</v>
      </c>
      <c r="U561">
        <f>Table1[[#This Row],[Interview_Date]]-Table1[[#This Row],[Application_Date]]</f>
        <v>9</v>
      </c>
      <c r="V561">
        <f>IF(OR(Table1[[#This Row],[Offer_Date]]="",Table1[[#This Row],[Interview_Date]]=""),"",Table1[[#This Row],[Offer_Date]]-Table1[[#This Row],[Interview_Date]])</f>
        <v>6</v>
      </c>
    </row>
    <row r="562" spans="1:22" x14ac:dyDescent="0.3">
      <c r="A562" t="s">
        <v>617</v>
      </c>
      <c r="B562" t="s">
        <v>58</v>
      </c>
      <c r="C562" t="s">
        <v>43</v>
      </c>
      <c r="D562" t="s">
        <v>18</v>
      </c>
      <c r="E562">
        <v>34</v>
      </c>
      <c r="F562" t="s">
        <v>39</v>
      </c>
      <c r="G562" t="s">
        <v>44</v>
      </c>
      <c r="H562" t="s">
        <v>21</v>
      </c>
      <c r="I562" s="1">
        <v>44762</v>
      </c>
      <c r="J562" s="1">
        <v>44768</v>
      </c>
      <c r="L562">
        <v>2</v>
      </c>
      <c r="M562">
        <v>6</v>
      </c>
      <c r="N562" t="s">
        <v>22</v>
      </c>
      <c r="O562">
        <v>511807</v>
      </c>
      <c r="U562">
        <f>Table1[[#This Row],[Interview_Date]]-Table1[[#This Row],[Application_Date]]</f>
        <v>6</v>
      </c>
      <c r="V562" t="str">
        <f>IF(OR(Table1[[#This Row],[Offer_Date]]="",Table1[[#This Row],[Interview_Date]]=""),"",Table1[[#This Row],[Offer_Date]]-Table1[[#This Row],[Interview_Date]])</f>
        <v/>
      </c>
    </row>
    <row r="563" spans="1:22" x14ac:dyDescent="0.3">
      <c r="A563" t="s">
        <v>618</v>
      </c>
      <c r="B563" t="s">
        <v>72</v>
      </c>
      <c r="C563" t="s">
        <v>53</v>
      </c>
      <c r="D563" t="s">
        <v>18</v>
      </c>
      <c r="E563">
        <v>25</v>
      </c>
      <c r="F563" t="s">
        <v>56</v>
      </c>
      <c r="G563" t="s">
        <v>35</v>
      </c>
      <c r="H563" t="s">
        <v>54</v>
      </c>
      <c r="I563" s="1">
        <v>44820</v>
      </c>
      <c r="J563" s="1">
        <v>44830</v>
      </c>
      <c r="K563" s="1">
        <v>44835</v>
      </c>
      <c r="L563">
        <v>1</v>
      </c>
      <c r="M563">
        <v>4</v>
      </c>
      <c r="N563" t="s">
        <v>48</v>
      </c>
      <c r="O563">
        <v>552142</v>
      </c>
      <c r="U563">
        <f>Table1[[#This Row],[Interview_Date]]-Table1[[#This Row],[Application_Date]]</f>
        <v>10</v>
      </c>
      <c r="V563">
        <f>IF(OR(Table1[[#This Row],[Offer_Date]]="",Table1[[#This Row],[Interview_Date]]=""),"",Table1[[#This Row],[Offer_Date]]-Table1[[#This Row],[Interview_Date]])</f>
        <v>5</v>
      </c>
    </row>
    <row r="564" spans="1:22" x14ac:dyDescent="0.3">
      <c r="A564" t="s">
        <v>619</v>
      </c>
      <c r="B564" t="s">
        <v>24</v>
      </c>
      <c r="C564" t="s">
        <v>94</v>
      </c>
      <c r="D564" t="s">
        <v>26</v>
      </c>
      <c r="E564">
        <v>25</v>
      </c>
      <c r="F564" t="s">
        <v>74</v>
      </c>
      <c r="G564" t="s">
        <v>35</v>
      </c>
      <c r="H564" t="s">
        <v>36</v>
      </c>
      <c r="I564" s="1">
        <v>44209</v>
      </c>
      <c r="J564" s="1">
        <v>44219</v>
      </c>
      <c r="L564">
        <v>2</v>
      </c>
      <c r="M564">
        <v>5</v>
      </c>
      <c r="N564" t="s">
        <v>48</v>
      </c>
      <c r="O564">
        <v>1199917</v>
      </c>
      <c r="U564">
        <f>Table1[[#This Row],[Interview_Date]]-Table1[[#This Row],[Application_Date]]</f>
        <v>10</v>
      </c>
      <c r="V564" t="str">
        <f>IF(OR(Table1[[#This Row],[Offer_Date]]="",Table1[[#This Row],[Interview_Date]]=""),"",Table1[[#This Row],[Offer_Date]]-Table1[[#This Row],[Interview_Date]])</f>
        <v/>
      </c>
    </row>
    <row r="565" spans="1:22" x14ac:dyDescent="0.3">
      <c r="A565" t="s">
        <v>620</v>
      </c>
      <c r="B565" t="s">
        <v>16</v>
      </c>
      <c r="C565" t="s">
        <v>50</v>
      </c>
      <c r="D565" t="s">
        <v>18</v>
      </c>
      <c r="E565">
        <v>23</v>
      </c>
      <c r="F565" t="s">
        <v>31</v>
      </c>
      <c r="G565" t="s">
        <v>35</v>
      </c>
      <c r="H565" t="s">
        <v>21</v>
      </c>
      <c r="I565" s="1">
        <v>44969</v>
      </c>
      <c r="J565" s="1">
        <v>44979</v>
      </c>
      <c r="L565">
        <v>3</v>
      </c>
      <c r="M565">
        <v>4</v>
      </c>
      <c r="N565" t="s">
        <v>45</v>
      </c>
      <c r="O565">
        <v>984946</v>
      </c>
      <c r="U565">
        <f>Table1[[#This Row],[Interview_Date]]-Table1[[#This Row],[Application_Date]]</f>
        <v>10</v>
      </c>
      <c r="V565" t="str">
        <f>IF(OR(Table1[[#This Row],[Offer_Date]]="",Table1[[#This Row],[Interview_Date]]=""),"",Table1[[#This Row],[Offer_Date]]-Table1[[#This Row],[Interview_Date]])</f>
        <v/>
      </c>
    </row>
    <row r="566" spans="1:22" x14ac:dyDescent="0.3">
      <c r="A566" t="s">
        <v>621</v>
      </c>
      <c r="B566" t="s">
        <v>42</v>
      </c>
      <c r="C566" t="s">
        <v>94</v>
      </c>
      <c r="D566" t="s">
        <v>18</v>
      </c>
      <c r="E566">
        <v>30</v>
      </c>
      <c r="F566" t="s">
        <v>74</v>
      </c>
      <c r="G566" t="s">
        <v>44</v>
      </c>
      <c r="H566" t="s">
        <v>36</v>
      </c>
      <c r="I566" s="1">
        <v>44361</v>
      </c>
      <c r="J566" s="1">
        <v>44365</v>
      </c>
      <c r="K566" s="1">
        <v>44367</v>
      </c>
      <c r="L566">
        <v>5</v>
      </c>
      <c r="M566">
        <v>6</v>
      </c>
      <c r="N566" t="s">
        <v>48</v>
      </c>
      <c r="O566">
        <v>902501</v>
      </c>
      <c r="U566">
        <f>Table1[[#This Row],[Interview_Date]]-Table1[[#This Row],[Application_Date]]</f>
        <v>4</v>
      </c>
      <c r="V566">
        <f>IF(OR(Table1[[#This Row],[Offer_Date]]="",Table1[[#This Row],[Interview_Date]]=""),"",Table1[[#This Row],[Offer_Date]]-Table1[[#This Row],[Interview_Date]])</f>
        <v>2</v>
      </c>
    </row>
    <row r="567" spans="1:22" x14ac:dyDescent="0.3">
      <c r="A567" t="s">
        <v>622</v>
      </c>
      <c r="B567" t="s">
        <v>47</v>
      </c>
      <c r="C567" t="s">
        <v>94</v>
      </c>
      <c r="D567" t="s">
        <v>26</v>
      </c>
      <c r="E567">
        <v>34</v>
      </c>
      <c r="F567" t="s">
        <v>34</v>
      </c>
      <c r="G567" t="s">
        <v>35</v>
      </c>
      <c r="H567" t="s">
        <v>54</v>
      </c>
      <c r="I567" s="1">
        <v>45390</v>
      </c>
      <c r="J567" s="1">
        <v>45402</v>
      </c>
      <c r="L567">
        <v>4</v>
      </c>
      <c r="M567">
        <v>6</v>
      </c>
      <c r="N567" t="s">
        <v>45</v>
      </c>
      <c r="O567">
        <v>764502</v>
      </c>
      <c r="U567">
        <f>Table1[[#This Row],[Interview_Date]]-Table1[[#This Row],[Application_Date]]</f>
        <v>12</v>
      </c>
      <c r="V567" t="str">
        <f>IF(OR(Table1[[#This Row],[Offer_Date]]="",Table1[[#This Row],[Interview_Date]]=""),"",Table1[[#This Row],[Offer_Date]]-Table1[[#This Row],[Interview_Date]])</f>
        <v/>
      </c>
    </row>
    <row r="568" spans="1:22" x14ac:dyDescent="0.3">
      <c r="A568" t="s">
        <v>623</v>
      </c>
      <c r="B568" t="s">
        <v>16</v>
      </c>
      <c r="C568" t="s">
        <v>17</v>
      </c>
      <c r="D568" t="s">
        <v>18</v>
      </c>
      <c r="E568">
        <v>21</v>
      </c>
      <c r="F568" t="s">
        <v>39</v>
      </c>
      <c r="G568" t="s">
        <v>20</v>
      </c>
      <c r="H568" t="s">
        <v>51</v>
      </c>
      <c r="I568" s="1">
        <v>45373</v>
      </c>
      <c r="J568" s="1">
        <v>45387</v>
      </c>
      <c r="L568">
        <v>5</v>
      </c>
      <c r="M568">
        <v>3</v>
      </c>
      <c r="N568" t="s">
        <v>28</v>
      </c>
      <c r="O568">
        <v>489567</v>
      </c>
      <c r="U568">
        <f>Table1[[#This Row],[Interview_Date]]-Table1[[#This Row],[Application_Date]]</f>
        <v>14</v>
      </c>
      <c r="V568" t="str">
        <f>IF(OR(Table1[[#This Row],[Offer_Date]]="",Table1[[#This Row],[Interview_Date]]=""),"",Table1[[#This Row],[Offer_Date]]-Table1[[#This Row],[Interview_Date]])</f>
        <v/>
      </c>
    </row>
    <row r="569" spans="1:22" x14ac:dyDescent="0.3">
      <c r="A569" t="s">
        <v>624</v>
      </c>
      <c r="B569" t="s">
        <v>47</v>
      </c>
      <c r="C569" t="s">
        <v>66</v>
      </c>
      <c r="D569" t="s">
        <v>26</v>
      </c>
      <c r="E569">
        <v>36</v>
      </c>
      <c r="F569" t="s">
        <v>39</v>
      </c>
      <c r="G569" t="s">
        <v>35</v>
      </c>
      <c r="H569" t="s">
        <v>21</v>
      </c>
      <c r="I569" s="1">
        <v>44440</v>
      </c>
      <c r="J569" s="1">
        <v>44443</v>
      </c>
      <c r="L569">
        <v>3</v>
      </c>
      <c r="M569">
        <v>5</v>
      </c>
      <c r="N569" t="s">
        <v>22</v>
      </c>
      <c r="O569">
        <v>1042335</v>
      </c>
      <c r="U569">
        <f>Table1[[#This Row],[Interview_Date]]-Table1[[#This Row],[Application_Date]]</f>
        <v>3</v>
      </c>
      <c r="V569" t="str">
        <f>IF(OR(Table1[[#This Row],[Offer_Date]]="",Table1[[#This Row],[Interview_Date]]=""),"",Table1[[#This Row],[Offer_Date]]-Table1[[#This Row],[Interview_Date]])</f>
        <v/>
      </c>
    </row>
    <row r="570" spans="1:22" x14ac:dyDescent="0.3">
      <c r="A570" t="s">
        <v>625</v>
      </c>
      <c r="B570" t="s">
        <v>42</v>
      </c>
      <c r="C570" t="s">
        <v>53</v>
      </c>
      <c r="D570" t="s">
        <v>26</v>
      </c>
      <c r="E570">
        <v>41</v>
      </c>
      <c r="F570" t="s">
        <v>74</v>
      </c>
      <c r="G570" t="s">
        <v>35</v>
      </c>
      <c r="H570" t="s">
        <v>36</v>
      </c>
      <c r="I570" s="1">
        <v>44730</v>
      </c>
      <c r="J570" s="1">
        <v>44744</v>
      </c>
      <c r="L570">
        <v>2</v>
      </c>
      <c r="M570">
        <v>8</v>
      </c>
      <c r="N570" t="s">
        <v>45</v>
      </c>
      <c r="O570">
        <v>861523</v>
      </c>
      <c r="U570">
        <f>Table1[[#This Row],[Interview_Date]]-Table1[[#This Row],[Application_Date]]</f>
        <v>14</v>
      </c>
      <c r="V570" t="str">
        <f>IF(OR(Table1[[#This Row],[Offer_Date]]="",Table1[[#This Row],[Interview_Date]]=""),"",Table1[[#This Row],[Offer_Date]]-Table1[[#This Row],[Interview_Date]])</f>
        <v/>
      </c>
    </row>
    <row r="571" spans="1:22" x14ac:dyDescent="0.3">
      <c r="A571" t="s">
        <v>626</v>
      </c>
      <c r="B571" t="s">
        <v>72</v>
      </c>
      <c r="C571" t="s">
        <v>50</v>
      </c>
      <c r="D571" t="s">
        <v>18</v>
      </c>
      <c r="E571">
        <v>40</v>
      </c>
      <c r="F571" t="s">
        <v>31</v>
      </c>
      <c r="G571" t="s">
        <v>60</v>
      </c>
      <c r="H571" t="s">
        <v>54</v>
      </c>
      <c r="I571" s="1">
        <v>44704</v>
      </c>
      <c r="J571" s="1">
        <v>44712</v>
      </c>
      <c r="K571" s="1">
        <v>44719</v>
      </c>
      <c r="L571">
        <v>3</v>
      </c>
      <c r="M571">
        <v>3</v>
      </c>
      <c r="N571" t="s">
        <v>22</v>
      </c>
      <c r="O571">
        <v>889679</v>
      </c>
      <c r="U571">
        <f>Table1[[#This Row],[Interview_Date]]-Table1[[#This Row],[Application_Date]]</f>
        <v>8</v>
      </c>
      <c r="V571">
        <f>IF(OR(Table1[[#This Row],[Offer_Date]]="",Table1[[#This Row],[Interview_Date]]=""),"",Table1[[#This Row],[Offer_Date]]-Table1[[#This Row],[Interview_Date]])</f>
        <v>7</v>
      </c>
    </row>
    <row r="572" spans="1:22" x14ac:dyDescent="0.3">
      <c r="A572" t="s">
        <v>627</v>
      </c>
      <c r="B572" t="s">
        <v>65</v>
      </c>
      <c r="C572" t="s">
        <v>30</v>
      </c>
      <c r="D572" t="s">
        <v>18</v>
      </c>
      <c r="E572">
        <v>33</v>
      </c>
      <c r="F572" t="s">
        <v>56</v>
      </c>
      <c r="G572" t="s">
        <v>27</v>
      </c>
      <c r="H572" t="s">
        <v>40</v>
      </c>
      <c r="I572" s="1">
        <v>45163</v>
      </c>
      <c r="J572" s="1">
        <v>45167</v>
      </c>
      <c r="L572">
        <v>5</v>
      </c>
      <c r="M572">
        <v>10</v>
      </c>
      <c r="N572" t="s">
        <v>45</v>
      </c>
      <c r="O572">
        <v>450238</v>
      </c>
      <c r="U572">
        <f>Table1[[#This Row],[Interview_Date]]-Table1[[#This Row],[Application_Date]]</f>
        <v>4</v>
      </c>
      <c r="V572" t="str">
        <f>IF(OR(Table1[[#This Row],[Offer_Date]]="",Table1[[#This Row],[Interview_Date]]=""),"",Table1[[#This Row],[Offer_Date]]-Table1[[#This Row],[Interview_Date]])</f>
        <v/>
      </c>
    </row>
    <row r="573" spans="1:22" x14ac:dyDescent="0.3">
      <c r="A573" t="s">
        <v>628</v>
      </c>
      <c r="B573" t="s">
        <v>38</v>
      </c>
      <c r="C573" t="s">
        <v>17</v>
      </c>
      <c r="D573" t="s">
        <v>18</v>
      </c>
      <c r="E573">
        <v>37</v>
      </c>
      <c r="F573" t="s">
        <v>39</v>
      </c>
      <c r="G573" t="s">
        <v>20</v>
      </c>
      <c r="H573" t="s">
        <v>54</v>
      </c>
      <c r="I573" s="1">
        <v>44587</v>
      </c>
      <c r="J573" s="1">
        <v>44592</v>
      </c>
      <c r="K573" s="1">
        <v>44596</v>
      </c>
      <c r="L573">
        <v>1</v>
      </c>
      <c r="M573">
        <v>10</v>
      </c>
      <c r="N573" t="s">
        <v>22</v>
      </c>
      <c r="O573">
        <v>373614</v>
      </c>
      <c r="U573">
        <f>Table1[[#This Row],[Interview_Date]]-Table1[[#This Row],[Application_Date]]</f>
        <v>5</v>
      </c>
      <c r="V573">
        <f>IF(OR(Table1[[#This Row],[Offer_Date]]="",Table1[[#This Row],[Interview_Date]]=""),"",Table1[[#This Row],[Offer_Date]]-Table1[[#This Row],[Interview_Date]])</f>
        <v>4</v>
      </c>
    </row>
    <row r="574" spans="1:22" x14ac:dyDescent="0.3">
      <c r="A574" t="s">
        <v>629</v>
      </c>
      <c r="B574" t="s">
        <v>47</v>
      </c>
      <c r="C574" t="s">
        <v>66</v>
      </c>
      <c r="D574" t="s">
        <v>18</v>
      </c>
      <c r="E574">
        <v>41</v>
      </c>
      <c r="F574" t="s">
        <v>31</v>
      </c>
      <c r="G574" t="s">
        <v>44</v>
      </c>
      <c r="H574" t="s">
        <v>54</v>
      </c>
      <c r="I574" s="1">
        <v>45013</v>
      </c>
      <c r="J574" s="1">
        <v>45025</v>
      </c>
      <c r="L574">
        <v>5</v>
      </c>
      <c r="M574">
        <v>7</v>
      </c>
      <c r="N574" t="s">
        <v>45</v>
      </c>
      <c r="O574">
        <v>480710</v>
      </c>
      <c r="U574">
        <f>Table1[[#This Row],[Interview_Date]]-Table1[[#This Row],[Application_Date]]</f>
        <v>12</v>
      </c>
      <c r="V574" t="str">
        <f>IF(OR(Table1[[#This Row],[Offer_Date]]="",Table1[[#This Row],[Interview_Date]]=""),"",Table1[[#This Row],[Offer_Date]]-Table1[[#This Row],[Interview_Date]])</f>
        <v/>
      </c>
    </row>
    <row r="575" spans="1:22" x14ac:dyDescent="0.3">
      <c r="A575" t="s">
        <v>630</v>
      </c>
      <c r="B575" t="s">
        <v>72</v>
      </c>
      <c r="C575" t="s">
        <v>69</v>
      </c>
      <c r="D575" t="s">
        <v>18</v>
      </c>
      <c r="E575">
        <v>35</v>
      </c>
      <c r="F575" t="s">
        <v>56</v>
      </c>
      <c r="G575" t="s">
        <v>27</v>
      </c>
      <c r="H575" t="s">
        <v>40</v>
      </c>
      <c r="I575" s="1">
        <v>45279</v>
      </c>
      <c r="J575" s="1">
        <v>45294</v>
      </c>
      <c r="K575" s="1">
        <v>45297</v>
      </c>
      <c r="L575">
        <v>4</v>
      </c>
      <c r="M575">
        <v>7</v>
      </c>
      <c r="N575" t="s">
        <v>48</v>
      </c>
      <c r="O575">
        <v>715187</v>
      </c>
      <c r="U575">
        <f>Table1[[#This Row],[Interview_Date]]-Table1[[#This Row],[Application_Date]]</f>
        <v>15</v>
      </c>
      <c r="V575">
        <f>IF(OR(Table1[[#This Row],[Offer_Date]]="",Table1[[#This Row],[Interview_Date]]=""),"",Table1[[#This Row],[Offer_Date]]-Table1[[#This Row],[Interview_Date]])</f>
        <v>3</v>
      </c>
    </row>
    <row r="576" spans="1:22" x14ac:dyDescent="0.3">
      <c r="A576" t="s">
        <v>631</v>
      </c>
      <c r="B576" t="s">
        <v>33</v>
      </c>
      <c r="C576" t="s">
        <v>53</v>
      </c>
      <c r="D576" t="s">
        <v>26</v>
      </c>
      <c r="E576">
        <v>22</v>
      </c>
      <c r="F576" t="s">
        <v>56</v>
      </c>
      <c r="G576" t="s">
        <v>27</v>
      </c>
      <c r="H576" t="s">
        <v>54</v>
      </c>
      <c r="I576" s="1">
        <v>45079</v>
      </c>
      <c r="J576" s="1">
        <v>45083</v>
      </c>
      <c r="K576" s="1">
        <v>45090</v>
      </c>
      <c r="L576">
        <v>5</v>
      </c>
      <c r="M576">
        <v>3</v>
      </c>
      <c r="N576" t="s">
        <v>22</v>
      </c>
      <c r="O576">
        <v>516965</v>
      </c>
      <c r="U576">
        <f>Table1[[#This Row],[Interview_Date]]-Table1[[#This Row],[Application_Date]]</f>
        <v>4</v>
      </c>
      <c r="V576">
        <f>IF(OR(Table1[[#This Row],[Offer_Date]]="",Table1[[#This Row],[Interview_Date]]=""),"",Table1[[#This Row],[Offer_Date]]-Table1[[#This Row],[Interview_Date]])</f>
        <v>7</v>
      </c>
    </row>
    <row r="577" spans="1:22" x14ac:dyDescent="0.3">
      <c r="A577" t="s">
        <v>632</v>
      </c>
      <c r="B577" t="s">
        <v>72</v>
      </c>
      <c r="C577" t="s">
        <v>25</v>
      </c>
      <c r="D577" t="s">
        <v>26</v>
      </c>
      <c r="E577">
        <v>25</v>
      </c>
      <c r="F577" t="s">
        <v>56</v>
      </c>
      <c r="G577" t="s">
        <v>35</v>
      </c>
      <c r="H577" t="s">
        <v>36</v>
      </c>
      <c r="I577" s="1">
        <v>44493</v>
      </c>
      <c r="J577" s="1">
        <v>44500</v>
      </c>
      <c r="K577" s="1">
        <v>44507</v>
      </c>
      <c r="L577">
        <v>3</v>
      </c>
      <c r="M577">
        <v>10</v>
      </c>
      <c r="N577" t="s">
        <v>45</v>
      </c>
      <c r="O577">
        <v>556694</v>
      </c>
      <c r="U577">
        <f>Table1[[#This Row],[Interview_Date]]-Table1[[#This Row],[Application_Date]]</f>
        <v>7</v>
      </c>
      <c r="V577">
        <f>IF(OR(Table1[[#This Row],[Offer_Date]]="",Table1[[#This Row],[Interview_Date]]=""),"",Table1[[#This Row],[Offer_Date]]-Table1[[#This Row],[Interview_Date]])</f>
        <v>7</v>
      </c>
    </row>
    <row r="578" spans="1:22" x14ac:dyDescent="0.3">
      <c r="A578" t="s">
        <v>633</v>
      </c>
      <c r="B578" t="s">
        <v>47</v>
      </c>
      <c r="C578" t="s">
        <v>25</v>
      </c>
      <c r="D578" t="s">
        <v>18</v>
      </c>
      <c r="E578">
        <v>28</v>
      </c>
      <c r="F578" t="s">
        <v>31</v>
      </c>
      <c r="G578" t="s">
        <v>60</v>
      </c>
      <c r="H578" t="s">
        <v>54</v>
      </c>
      <c r="I578" s="1">
        <v>44745</v>
      </c>
      <c r="J578" s="1">
        <v>44752</v>
      </c>
      <c r="L578">
        <v>2</v>
      </c>
      <c r="M578">
        <v>5</v>
      </c>
      <c r="N578" t="s">
        <v>48</v>
      </c>
      <c r="O578">
        <v>545310</v>
      </c>
      <c r="U578">
        <f>Table1[[#This Row],[Interview_Date]]-Table1[[#This Row],[Application_Date]]</f>
        <v>7</v>
      </c>
      <c r="V578" t="str">
        <f>IF(OR(Table1[[#This Row],[Offer_Date]]="",Table1[[#This Row],[Interview_Date]]=""),"",Table1[[#This Row],[Offer_Date]]-Table1[[#This Row],[Interview_Date]])</f>
        <v/>
      </c>
    </row>
    <row r="579" spans="1:22" x14ac:dyDescent="0.3">
      <c r="A579" t="s">
        <v>634</v>
      </c>
      <c r="B579" t="s">
        <v>24</v>
      </c>
      <c r="C579" t="s">
        <v>94</v>
      </c>
      <c r="D579" t="s">
        <v>18</v>
      </c>
      <c r="E579">
        <v>28</v>
      </c>
      <c r="F579" t="s">
        <v>34</v>
      </c>
      <c r="G579" t="s">
        <v>35</v>
      </c>
      <c r="H579" t="s">
        <v>54</v>
      </c>
      <c r="I579" s="1">
        <v>44304</v>
      </c>
      <c r="J579" s="1">
        <v>44308</v>
      </c>
      <c r="L579">
        <v>1</v>
      </c>
      <c r="M579">
        <v>5</v>
      </c>
      <c r="N579" t="s">
        <v>28</v>
      </c>
      <c r="O579">
        <v>855136</v>
      </c>
      <c r="U579">
        <f>Table1[[#This Row],[Interview_Date]]-Table1[[#This Row],[Application_Date]]</f>
        <v>4</v>
      </c>
      <c r="V579" t="str">
        <f>IF(OR(Table1[[#This Row],[Offer_Date]]="",Table1[[#This Row],[Interview_Date]]=""),"",Table1[[#This Row],[Offer_Date]]-Table1[[#This Row],[Interview_Date]])</f>
        <v/>
      </c>
    </row>
    <row r="580" spans="1:22" x14ac:dyDescent="0.3">
      <c r="A580" t="s">
        <v>635</v>
      </c>
      <c r="B580" t="s">
        <v>63</v>
      </c>
      <c r="C580" t="s">
        <v>25</v>
      </c>
      <c r="D580" t="s">
        <v>18</v>
      </c>
      <c r="E580">
        <v>29</v>
      </c>
      <c r="F580" t="s">
        <v>74</v>
      </c>
      <c r="G580" t="s">
        <v>35</v>
      </c>
      <c r="H580" t="s">
        <v>36</v>
      </c>
      <c r="I580" s="1">
        <v>44332</v>
      </c>
      <c r="J580" s="1">
        <v>44343</v>
      </c>
      <c r="K580" s="1">
        <v>44346</v>
      </c>
      <c r="L580">
        <v>5</v>
      </c>
      <c r="M580">
        <v>9</v>
      </c>
      <c r="N580" t="s">
        <v>48</v>
      </c>
      <c r="O580">
        <v>757063</v>
      </c>
      <c r="U580">
        <f>Table1[[#This Row],[Interview_Date]]-Table1[[#This Row],[Application_Date]]</f>
        <v>11</v>
      </c>
      <c r="V580">
        <f>IF(OR(Table1[[#This Row],[Offer_Date]]="",Table1[[#This Row],[Interview_Date]]=""),"",Table1[[#This Row],[Offer_Date]]-Table1[[#This Row],[Interview_Date]])</f>
        <v>3</v>
      </c>
    </row>
    <row r="581" spans="1:22" x14ac:dyDescent="0.3">
      <c r="A581" t="s">
        <v>636</v>
      </c>
      <c r="B581" t="s">
        <v>42</v>
      </c>
      <c r="C581" t="s">
        <v>94</v>
      </c>
      <c r="D581" t="s">
        <v>18</v>
      </c>
      <c r="E581">
        <v>44</v>
      </c>
      <c r="F581" t="s">
        <v>56</v>
      </c>
      <c r="G581" t="s">
        <v>27</v>
      </c>
      <c r="H581" t="s">
        <v>36</v>
      </c>
      <c r="I581" s="1">
        <v>44937</v>
      </c>
      <c r="J581" s="1">
        <v>44944</v>
      </c>
      <c r="L581">
        <v>2</v>
      </c>
      <c r="M581">
        <v>10</v>
      </c>
      <c r="N581" t="s">
        <v>28</v>
      </c>
      <c r="O581">
        <v>334686</v>
      </c>
      <c r="U581">
        <f>Table1[[#This Row],[Interview_Date]]-Table1[[#This Row],[Application_Date]]</f>
        <v>7</v>
      </c>
      <c r="V581" t="str">
        <f>IF(OR(Table1[[#This Row],[Offer_Date]]="",Table1[[#This Row],[Interview_Date]]=""),"",Table1[[#This Row],[Offer_Date]]-Table1[[#This Row],[Interview_Date]])</f>
        <v/>
      </c>
    </row>
    <row r="582" spans="1:22" x14ac:dyDescent="0.3">
      <c r="A582" t="s">
        <v>637</v>
      </c>
      <c r="B582" t="s">
        <v>38</v>
      </c>
      <c r="C582" t="s">
        <v>94</v>
      </c>
      <c r="D582" t="s">
        <v>26</v>
      </c>
      <c r="E582">
        <v>39</v>
      </c>
      <c r="F582" t="s">
        <v>34</v>
      </c>
      <c r="G582" t="s">
        <v>44</v>
      </c>
      <c r="H582" t="s">
        <v>54</v>
      </c>
      <c r="I582" s="1">
        <v>44819</v>
      </c>
      <c r="J582" s="1">
        <v>44824</v>
      </c>
      <c r="L582">
        <v>4</v>
      </c>
      <c r="M582">
        <v>7</v>
      </c>
      <c r="N582" t="s">
        <v>45</v>
      </c>
      <c r="O582">
        <v>590446</v>
      </c>
      <c r="U582">
        <f>Table1[[#This Row],[Interview_Date]]-Table1[[#This Row],[Application_Date]]</f>
        <v>5</v>
      </c>
      <c r="V582" t="str">
        <f>IF(OR(Table1[[#This Row],[Offer_Date]]="",Table1[[#This Row],[Interview_Date]]=""),"",Table1[[#This Row],[Offer_Date]]-Table1[[#This Row],[Interview_Date]])</f>
        <v/>
      </c>
    </row>
    <row r="583" spans="1:22" x14ac:dyDescent="0.3">
      <c r="A583" t="s">
        <v>638</v>
      </c>
      <c r="B583" t="s">
        <v>72</v>
      </c>
      <c r="C583" t="s">
        <v>69</v>
      </c>
      <c r="D583" t="s">
        <v>18</v>
      </c>
      <c r="E583">
        <v>43</v>
      </c>
      <c r="F583" t="s">
        <v>31</v>
      </c>
      <c r="G583" t="s">
        <v>35</v>
      </c>
      <c r="H583" t="s">
        <v>36</v>
      </c>
      <c r="I583" s="1">
        <v>44875</v>
      </c>
      <c r="J583" s="1">
        <v>44881</v>
      </c>
      <c r="K583" s="1">
        <v>44888</v>
      </c>
      <c r="L583">
        <v>4</v>
      </c>
      <c r="M583">
        <v>3</v>
      </c>
      <c r="N583" t="s">
        <v>28</v>
      </c>
      <c r="O583">
        <v>748671</v>
      </c>
      <c r="U583">
        <f>Table1[[#This Row],[Interview_Date]]-Table1[[#This Row],[Application_Date]]</f>
        <v>6</v>
      </c>
      <c r="V583">
        <f>IF(OR(Table1[[#This Row],[Offer_Date]]="",Table1[[#This Row],[Interview_Date]]=""),"",Table1[[#This Row],[Offer_Date]]-Table1[[#This Row],[Interview_Date]])</f>
        <v>7</v>
      </c>
    </row>
    <row r="584" spans="1:22" x14ac:dyDescent="0.3">
      <c r="A584" t="s">
        <v>639</v>
      </c>
      <c r="B584" t="s">
        <v>72</v>
      </c>
      <c r="C584" t="s">
        <v>17</v>
      </c>
      <c r="D584" t="s">
        <v>18</v>
      </c>
      <c r="E584">
        <v>34</v>
      </c>
      <c r="F584" t="s">
        <v>56</v>
      </c>
      <c r="G584" t="s">
        <v>27</v>
      </c>
      <c r="H584" t="s">
        <v>36</v>
      </c>
      <c r="I584" s="1">
        <v>44625</v>
      </c>
      <c r="J584" s="1">
        <v>44637</v>
      </c>
      <c r="K584" s="1">
        <v>44639</v>
      </c>
      <c r="L584">
        <v>2</v>
      </c>
      <c r="M584">
        <v>4</v>
      </c>
      <c r="N584" t="s">
        <v>28</v>
      </c>
      <c r="O584">
        <v>905294</v>
      </c>
      <c r="U584">
        <f>Table1[[#This Row],[Interview_Date]]-Table1[[#This Row],[Application_Date]]</f>
        <v>12</v>
      </c>
      <c r="V584">
        <f>IF(OR(Table1[[#This Row],[Offer_Date]]="",Table1[[#This Row],[Interview_Date]]=""),"",Table1[[#This Row],[Offer_Date]]-Table1[[#This Row],[Interview_Date]])</f>
        <v>2</v>
      </c>
    </row>
    <row r="585" spans="1:22" x14ac:dyDescent="0.3">
      <c r="A585" t="s">
        <v>640</v>
      </c>
      <c r="B585" t="s">
        <v>65</v>
      </c>
      <c r="C585" t="s">
        <v>17</v>
      </c>
      <c r="D585" t="s">
        <v>26</v>
      </c>
      <c r="E585">
        <v>42</v>
      </c>
      <c r="F585" t="s">
        <v>34</v>
      </c>
      <c r="G585" t="s">
        <v>20</v>
      </c>
      <c r="H585" t="s">
        <v>51</v>
      </c>
      <c r="I585" s="1">
        <v>44920</v>
      </c>
      <c r="J585" s="1">
        <v>44928</v>
      </c>
      <c r="L585">
        <v>2</v>
      </c>
      <c r="M585">
        <v>9</v>
      </c>
      <c r="N585" t="s">
        <v>45</v>
      </c>
      <c r="O585">
        <v>1030659</v>
      </c>
      <c r="U585">
        <f>Table1[[#This Row],[Interview_Date]]-Table1[[#This Row],[Application_Date]]</f>
        <v>8</v>
      </c>
      <c r="V585" t="str">
        <f>IF(OR(Table1[[#This Row],[Offer_Date]]="",Table1[[#This Row],[Interview_Date]]=""),"",Table1[[#This Row],[Offer_Date]]-Table1[[#This Row],[Interview_Date]])</f>
        <v/>
      </c>
    </row>
    <row r="586" spans="1:22" x14ac:dyDescent="0.3">
      <c r="A586" t="s">
        <v>641</v>
      </c>
      <c r="B586" t="s">
        <v>72</v>
      </c>
      <c r="C586" t="s">
        <v>53</v>
      </c>
      <c r="D586" t="s">
        <v>26</v>
      </c>
      <c r="E586">
        <v>26</v>
      </c>
      <c r="F586" t="s">
        <v>39</v>
      </c>
      <c r="G586" t="s">
        <v>44</v>
      </c>
      <c r="H586" t="s">
        <v>21</v>
      </c>
      <c r="I586" s="1">
        <v>45264</v>
      </c>
      <c r="J586" s="1">
        <v>45267</v>
      </c>
      <c r="K586" s="1">
        <v>45274</v>
      </c>
      <c r="L586">
        <v>3</v>
      </c>
      <c r="M586">
        <v>7</v>
      </c>
      <c r="N586" t="s">
        <v>45</v>
      </c>
      <c r="O586">
        <v>683540</v>
      </c>
      <c r="U586">
        <f>Table1[[#This Row],[Interview_Date]]-Table1[[#This Row],[Application_Date]]</f>
        <v>3</v>
      </c>
      <c r="V586">
        <f>IF(OR(Table1[[#This Row],[Offer_Date]]="",Table1[[#This Row],[Interview_Date]]=""),"",Table1[[#This Row],[Offer_Date]]-Table1[[#This Row],[Interview_Date]])</f>
        <v>7</v>
      </c>
    </row>
    <row r="587" spans="1:22" x14ac:dyDescent="0.3">
      <c r="A587" t="s">
        <v>642</v>
      </c>
      <c r="B587" t="s">
        <v>58</v>
      </c>
      <c r="C587" t="s">
        <v>43</v>
      </c>
      <c r="D587" t="s">
        <v>26</v>
      </c>
      <c r="E587">
        <v>27</v>
      </c>
      <c r="F587" t="s">
        <v>34</v>
      </c>
      <c r="G587" t="s">
        <v>20</v>
      </c>
      <c r="H587" t="s">
        <v>21</v>
      </c>
      <c r="I587" s="1">
        <v>44238</v>
      </c>
      <c r="J587" s="1">
        <v>44246</v>
      </c>
      <c r="L587">
        <v>2</v>
      </c>
      <c r="M587">
        <v>5</v>
      </c>
      <c r="N587" t="s">
        <v>48</v>
      </c>
      <c r="O587">
        <v>325113</v>
      </c>
      <c r="U587">
        <f>Table1[[#This Row],[Interview_Date]]-Table1[[#This Row],[Application_Date]]</f>
        <v>8</v>
      </c>
      <c r="V587" t="str">
        <f>IF(OR(Table1[[#This Row],[Offer_Date]]="",Table1[[#This Row],[Interview_Date]]=""),"",Table1[[#This Row],[Offer_Date]]-Table1[[#This Row],[Interview_Date]])</f>
        <v/>
      </c>
    </row>
    <row r="588" spans="1:22" x14ac:dyDescent="0.3">
      <c r="A588" t="s">
        <v>643</v>
      </c>
      <c r="B588" t="s">
        <v>38</v>
      </c>
      <c r="C588" t="s">
        <v>25</v>
      </c>
      <c r="D588" t="s">
        <v>26</v>
      </c>
      <c r="E588">
        <v>23</v>
      </c>
      <c r="F588" t="s">
        <v>74</v>
      </c>
      <c r="G588" t="s">
        <v>20</v>
      </c>
      <c r="H588" t="s">
        <v>54</v>
      </c>
      <c r="I588" s="1">
        <v>45384</v>
      </c>
      <c r="J588" s="1">
        <v>45392</v>
      </c>
      <c r="K588" s="1">
        <v>45395</v>
      </c>
      <c r="L588">
        <v>4</v>
      </c>
      <c r="M588">
        <v>3</v>
      </c>
      <c r="N588" t="s">
        <v>22</v>
      </c>
      <c r="O588">
        <v>352434</v>
      </c>
      <c r="U588">
        <f>Table1[[#This Row],[Interview_Date]]-Table1[[#This Row],[Application_Date]]</f>
        <v>8</v>
      </c>
      <c r="V588">
        <f>IF(OR(Table1[[#This Row],[Offer_Date]]="",Table1[[#This Row],[Interview_Date]]=""),"",Table1[[#This Row],[Offer_Date]]-Table1[[#This Row],[Interview_Date]])</f>
        <v>3</v>
      </c>
    </row>
    <row r="589" spans="1:22" x14ac:dyDescent="0.3">
      <c r="A589" t="s">
        <v>644</v>
      </c>
      <c r="B589" t="s">
        <v>16</v>
      </c>
      <c r="C589" t="s">
        <v>53</v>
      </c>
      <c r="D589" t="s">
        <v>26</v>
      </c>
      <c r="E589">
        <v>30</v>
      </c>
      <c r="F589" t="s">
        <v>56</v>
      </c>
      <c r="G589" t="s">
        <v>35</v>
      </c>
      <c r="H589" t="s">
        <v>54</v>
      </c>
      <c r="I589" s="1">
        <v>44986</v>
      </c>
      <c r="J589" s="1">
        <v>44993</v>
      </c>
      <c r="K589" s="1">
        <v>45000</v>
      </c>
      <c r="L589">
        <v>2</v>
      </c>
      <c r="M589">
        <v>2</v>
      </c>
      <c r="N589" t="s">
        <v>48</v>
      </c>
      <c r="O589">
        <v>668312</v>
      </c>
      <c r="U589">
        <f>Table1[[#This Row],[Interview_Date]]-Table1[[#This Row],[Application_Date]]</f>
        <v>7</v>
      </c>
      <c r="V589">
        <f>IF(OR(Table1[[#This Row],[Offer_Date]]="",Table1[[#This Row],[Interview_Date]]=""),"",Table1[[#This Row],[Offer_Date]]-Table1[[#This Row],[Interview_Date]])</f>
        <v>7</v>
      </c>
    </row>
    <row r="590" spans="1:22" x14ac:dyDescent="0.3">
      <c r="A590" t="s">
        <v>645</v>
      </c>
      <c r="B590" t="s">
        <v>16</v>
      </c>
      <c r="C590" t="s">
        <v>66</v>
      </c>
      <c r="D590" t="s">
        <v>26</v>
      </c>
      <c r="E590">
        <v>36</v>
      </c>
      <c r="F590" t="s">
        <v>31</v>
      </c>
      <c r="G590" t="s">
        <v>60</v>
      </c>
      <c r="H590" t="s">
        <v>54</v>
      </c>
      <c r="I590" s="1">
        <v>45253</v>
      </c>
      <c r="J590" s="1">
        <v>45257</v>
      </c>
      <c r="L590">
        <v>5</v>
      </c>
      <c r="M590">
        <v>10</v>
      </c>
      <c r="N590" t="s">
        <v>28</v>
      </c>
      <c r="O590">
        <v>580143</v>
      </c>
      <c r="U590">
        <f>Table1[[#This Row],[Interview_Date]]-Table1[[#This Row],[Application_Date]]</f>
        <v>4</v>
      </c>
      <c r="V590" t="str">
        <f>IF(OR(Table1[[#This Row],[Offer_Date]]="",Table1[[#This Row],[Interview_Date]]=""),"",Table1[[#This Row],[Offer_Date]]-Table1[[#This Row],[Interview_Date]])</f>
        <v/>
      </c>
    </row>
    <row r="591" spans="1:22" x14ac:dyDescent="0.3">
      <c r="A591" t="s">
        <v>646</v>
      </c>
      <c r="B591" t="s">
        <v>65</v>
      </c>
      <c r="C591" t="s">
        <v>53</v>
      </c>
      <c r="D591" t="s">
        <v>26</v>
      </c>
      <c r="E591">
        <v>22</v>
      </c>
      <c r="F591" t="s">
        <v>31</v>
      </c>
      <c r="G591" t="s">
        <v>27</v>
      </c>
      <c r="H591" t="s">
        <v>54</v>
      </c>
      <c r="I591" s="1">
        <v>44913</v>
      </c>
      <c r="J591" s="1">
        <v>44921</v>
      </c>
      <c r="K591" s="1">
        <v>44925</v>
      </c>
      <c r="L591">
        <v>4</v>
      </c>
      <c r="M591">
        <v>7</v>
      </c>
      <c r="N591" t="s">
        <v>22</v>
      </c>
      <c r="O591">
        <v>624561</v>
      </c>
      <c r="U591">
        <f>Table1[[#This Row],[Interview_Date]]-Table1[[#This Row],[Application_Date]]</f>
        <v>8</v>
      </c>
      <c r="V591">
        <f>IF(OR(Table1[[#This Row],[Offer_Date]]="",Table1[[#This Row],[Interview_Date]]=""),"",Table1[[#This Row],[Offer_Date]]-Table1[[#This Row],[Interview_Date]])</f>
        <v>4</v>
      </c>
    </row>
    <row r="592" spans="1:22" x14ac:dyDescent="0.3">
      <c r="A592" t="s">
        <v>647</v>
      </c>
      <c r="B592" t="s">
        <v>42</v>
      </c>
      <c r="C592" t="s">
        <v>43</v>
      </c>
      <c r="D592" t="s">
        <v>26</v>
      </c>
      <c r="E592">
        <v>42</v>
      </c>
      <c r="F592" t="s">
        <v>31</v>
      </c>
      <c r="G592" t="s">
        <v>44</v>
      </c>
      <c r="H592" t="s">
        <v>40</v>
      </c>
      <c r="I592" s="1">
        <v>44991</v>
      </c>
      <c r="J592" s="1">
        <v>44998</v>
      </c>
      <c r="K592" s="1">
        <v>45000</v>
      </c>
      <c r="L592">
        <v>5</v>
      </c>
      <c r="M592">
        <v>4</v>
      </c>
      <c r="N592" t="s">
        <v>48</v>
      </c>
      <c r="O592">
        <v>1067862</v>
      </c>
      <c r="U592">
        <f>Table1[[#This Row],[Interview_Date]]-Table1[[#This Row],[Application_Date]]</f>
        <v>7</v>
      </c>
      <c r="V592">
        <f>IF(OR(Table1[[#This Row],[Offer_Date]]="",Table1[[#This Row],[Interview_Date]]=""),"",Table1[[#This Row],[Offer_Date]]-Table1[[#This Row],[Interview_Date]])</f>
        <v>2</v>
      </c>
    </row>
    <row r="593" spans="1:22" x14ac:dyDescent="0.3">
      <c r="A593" t="s">
        <v>648</v>
      </c>
      <c r="B593" t="s">
        <v>33</v>
      </c>
      <c r="C593" t="s">
        <v>30</v>
      </c>
      <c r="D593" t="s">
        <v>18</v>
      </c>
      <c r="E593">
        <v>41</v>
      </c>
      <c r="F593" t="s">
        <v>34</v>
      </c>
      <c r="G593" t="s">
        <v>35</v>
      </c>
      <c r="H593" t="s">
        <v>51</v>
      </c>
      <c r="I593" s="1">
        <v>44962</v>
      </c>
      <c r="J593" s="1">
        <v>44967</v>
      </c>
      <c r="L593">
        <v>5</v>
      </c>
      <c r="M593">
        <v>9</v>
      </c>
      <c r="N593" t="s">
        <v>28</v>
      </c>
      <c r="O593">
        <v>866834</v>
      </c>
      <c r="U593">
        <f>Table1[[#This Row],[Interview_Date]]-Table1[[#This Row],[Application_Date]]</f>
        <v>5</v>
      </c>
      <c r="V593" t="str">
        <f>IF(OR(Table1[[#This Row],[Offer_Date]]="",Table1[[#This Row],[Interview_Date]]=""),"",Table1[[#This Row],[Offer_Date]]-Table1[[#This Row],[Interview_Date]])</f>
        <v/>
      </c>
    </row>
    <row r="594" spans="1:22" x14ac:dyDescent="0.3">
      <c r="A594" t="s">
        <v>649</v>
      </c>
      <c r="B594" t="s">
        <v>72</v>
      </c>
      <c r="C594" t="s">
        <v>50</v>
      </c>
      <c r="D594" t="s">
        <v>26</v>
      </c>
      <c r="E594">
        <v>31</v>
      </c>
      <c r="F594" t="s">
        <v>31</v>
      </c>
      <c r="G594" t="s">
        <v>60</v>
      </c>
      <c r="H594" t="s">
        <v>36</v>
      </c>
      <c r="I594" s="1">
        <v>44973</v>
      </c>
      <c r="J594" s="1">
        <v>44987</v>
      </c>
      <c r="K594" s="1">
        <v>44992</v>
      </c>
      <c r="L594">
        <v>3</v>
      </c>
      <c r="M594">
        <v>9</v>
      </c>
      <c r="N594" t="s">
        <v>28</v>
      </c>
      <c r="O594">
        <v>689324</v>
      </c>
      <c r="U594">
        <f>Table1[[#This Row],[Interview_Date]]-Table1[[#This Row],[Application_Date]]</f>
        <v>14</v>
      </c>
      <c r="V594">
        <f>IF(OR(Table1[[#This Row],[Offer_Date]]="",Table1[[#This Row],[Interview_Date]]=""),"",Table1[[#This Row],[Offer_Date]]-Table1[[#This Row],[Interview_Date]])</f>
        <v>5</v>
      </c>
    </row>
    <row r="595" spans="1:22" x14ac:dyDescent="0.3">
      <c r="A595" t="s">
        <v>650</v>
      </c>
      <c r="B595" t="s">
        <v>47</v>
      </c>
      <c r="C595" t="s">
        <v>30</v>
      </c>
      <c r="D595" t="s">
        <v>18</v>
      </c>
      <c r="E595">
        <v>28</v>
      </c>
      <c r="F595" t="s">
        <v>19</v>
      </c>
      <c r="G595" t="s">
        <v>60</v>
      </c>
      <c r="H595" t="s">
        <v>40</v>
      </c>
      <c r="I595" s="1">
        <v>44542</v>
      </c>
      <c r="J595" s="1">
        <v>44545</v>
      </c>
      <c r="K595" s="1">
        <v>44547</v>
      </c>
      <c r="L595">
        <v>3</v>
      </c>
      <c r="M595">
        <v>6</v>
      </c>
      <c r="N595" t="s">
        <v>28</v>
      </c>
      <c r="O595">
        <v>491843</v>
      </c>
      <c r="U595">
        <f>Table1[[#This Row],[Interview_Date]]-Table1[[#This Row],[Application_Date]]</f>
        <v>3</v>
      </c>
      <c r="V595">
        <f>IF(OR(Table1[[#This Row],[Offer_Date]]="",Table1[[#This Row],[Interview_Date]]=""),"",Table1[[#This Row],[Offer_Date]]-Table1[[#This Row],[Interview_Date]])</f>
        <v>2</v>
      </c>
    </row>
    <row r="596" spans="1:22" x14ac:dyDescent="0.3">
      <c r="A596" t="s">
        <v>651</v>
      </c>
      <c r="B596" t="s">
        <v>42</v>
      </c>
      <c r="C596" t="s">
        <v>30</v>
      </c>
      <c r="D596" t="s">
        <v>18</v>
      </c>
      <c r="E596">
        <v>43</v>
      </c>
      <c r="F596" t="s">
        <v>56</v>
      </c>
      <c r="G596" t="s">
        <v>27</v>
      </c>
      <c r="H596" t="s">
        <v>51</v>
      </c>
      <c r="I596" s="1">
        <v>44820</v>
      </c>
      <c r="J596" s="1">
        <v>44832</v>
      </c>
      <c r="K596" s="1">
        <v>44839</v>
      </c>
      <c r="L596">
        <v>1</v>
      </c>
      <c r="M596">
        <v>2</v>
      </c>
      <c r="N596" t="s">
        <v>45</v>
      </c>
      <c r="O596">
        <v>607949</v>
      </c>
      <c r="U596">
        <f>Table1[[#This Row],[Interview_Date]]-Table1[[#This Row],[Application_Date]]</f>
        <v>12</v>
      </c>
      <c r="V596">
        <f>IF(OR(Table1[[#This Row],[Offer_Date]]="",Table1[[#This Row],[Interview_Date]]=""),"",Table1[[#This Row],[Offer_Date]]-Table1[[#This Row],[Interview_Date]])</f>
        <v>7</v>
      </c>
    </row>
    <row r="597" spans="1:22" x14ac:dyDescent="0.3">
      <c r="A597" t="s">
        <v>652</v>
      </c>
      <c r="B597" t="s">
        <v>16</v>
      </c>
      <c r="C597" t="s">
        <v>94</v>
      </c>
      <c r="D597" t="s">
        <v>18</v>
      </c>
      <c r="E597">
        <v>37</v>
      </c>
      <c r="F597" t="s">
        <v>31</v>
      </c>
      <c r="G597" t="s">
        <v>20</v>
      </c>
      <c r="H597" t="s">
        <v>36</v>
      </c>
      <c r="I597" s="1">
        <v>44599</v>
      </c>
      <c r="J597" s="1">
        <v>44611</v>
      </c>
      <c r="L597">
        <v>1</v>
      </c>
      <c r="M597">
        <v>5</v>
      </c>
      <c r="N597" t="s">
        <v>48</v>
      </c>
      <c r="O597">
        <v>406070</v>
      </c>
      <c r="U597">
        <f>Table1[[#This Row],[Interview_Date]]-Table1[[#This Row],[Application_Date]]</f>
        <v>12</v>
      </c>
      <c r="V597" t="str">
        <f>IF(OR(Table1[[#This Row],[Offer_Date]]="",Table1[[#This Row],[Interview_Date]]=""),"",Table1[[#This Row],[Offer_Date]]-Table1[[#This Row],[Interview_Date]])</f>
        <v/>
      </c>
    </row>
    <row r="598" spans="1:22" x14ac:dyDescent="0.3">
      <c r="A598" t="s">
        <v>653</v>
      </c>
      <c r="B598" t="s">
        <v>24</v>
      </c>
      <c r="C598" t="s">
        <v>43</v>
      </c>
      <c r="D598" t="s">
        <v>18</v>
      </c>
      <c r="E598">
        <v>24</v>
      </c>
      <c r="F598" t="s">
        <v>74</v>
      </c>
      <c r="G598" t="s">
        <v>20</v>
      </c>
      <c r="H598" t="s">
        <v>36</v>
      </c>
      <c r="I598" s="1">
        <v>44538</v>
      </c>
      <c r="J598" s="1">
        <v>44552</v>
      </c>
      <c r="K598" s="1">
        <v>44555</v>
      </c>
      <c r="L598">
        <v>1</v>
      </c>
      <c r="M598">
        <v>6</v>
      </c>
      <c r="N598" t="s">
        <v>45</v>
      </c>
      <c r="O598">
        <v>867244</v>
      </c>
      <c r="U598">
        <f>Table1[[#This Row],[Interview_Date]]-Table1[[#This Row],[Application_Date]]</f>
        <v>14</v>
      </c>
      <c r="V598">
        <f>IF(OR(Table1[[#This Row],[Offer_Date]]="",Table1[[#This Row],[Interview_Date]]=""),"",Table1[[#This Row],[Offer_Date]]-Table1[[#This Row],[Interview_Date]])</f>
        <v>3</v>
      </c>
    </row>
    <row r="599" spans="1:22" x14ac:dyDescent="0.3">
      <c r="A599" t="s">
        <v>654</v>
      </c>
      <c r="B599" t="s">
        <v>58</v>
      </c>
      <c r="C599" t="s">
        <v>43</v>
      </c>
      <c r="D599" t="s">
        <v>26</v>
      </c>
      <c r="E599">
        <v>37</v>
      </c>
      <c r="F599" t="s">
        <v>74</v>
      </c>
      <c r="G599" t="s">
        <v>20</v>
      </c>
      <c r="H599" t="s">
        <v>40</v>
      </c>
      <c r="I599" s="1">
        <v>45225</v>
      </c>
      <c r="J599" s="1">
        <v>45238</v>
      </c>
      <c r="L599">
        <v>2</v>
      </c>
      <c r="M599">
        <v>10</v>
      </c>
      <c r="N599" t="s">
        <v>48</v>
      </c>
      <c r="O599">
        <v>528909</v>
      </c>
      <c r="U599">
        <f>Table1[[#This Row],[Interview_Date]]-Table1[[#This Row],[Application_Date]]</f>
        <v>13</v>
      </c>
      <c r="V599" t="str">
        <f>IF(OR(Table1[[#This Row],[Offer_Date]]="",Table1[[#This Row],[Interview_Date]]=""),"",Table1[[#This Row],[Offer_Date]]-Table1[[#This Row],[Interview_Date]])</f>
        <v/>
      </c>
    </row>
    <row r="600" spans="1:22" x14ac:dyDescent="0.3">
      <c r="A600" t="s">
        <v>655</v>
      </c>
      <c r="B600" t="s">
        <v>24</v>
      </c>
      <c r="C600" t="s">
        <v>25</v>
      </c>
      <c r="D600" t="s">
        <v>18</v>
      </c>
      <c r="E600">
        <v>44</v>
      </c>
      <c r="F600" t="s">
        <v>39</v>
      </c>
      <c r="G600" t="s">
        <v>20</v>
      </c>
      <c r="H600" t="s">
        <v>36</v>
      </c>
      <c r="I600" s="1">
        <v>45289</v>
      </c>
      <c r="J600" s="1">
        <v>45304</v>
      </c>
      <c r="K600" s="1">
        <v>45307</v>
      </c>
      <c r="L600">
        <v>4</v>
      </c>
      <c r="M600">
        <v>5</v>
      </c>
      <c r="N600" t="s">
        <v>48</v>
      </c>
      <c r="O600">
        <v>1191297</v>
      </c>
      <c r="U600">
        <f>Table1[[#This Row],[Interview_Date]]-Table1[[#This Row],[Application_Date]]</f>
        <v>15</v>
      </c>
      <c r="V600">
        <f>IF(OR(Table1[[#This Row],[Offer_Date]]="",Table1[[#This Row],[Interview_Date]]=""),"",Table1[[#This Row],[Offer_Date]]-Table1[[#This Row],[Interview_Date]])</f>
        <v>3</v>
      </c>
    </row>
    <row r="601" spans="1:22" x14ac:dyDescent="0.3">
      <c r="A601" t="s">
        <v>656</v>
      </c>
      <c r="B601" t="s">
        <v>42</v>
      </c>
      <c r="C601" t="s">
        <v>50</v>
      </c>
      <c r="D601" t="s">
        <v>26</v>
      </c>
      <c r="E601">
        <v>38</v>
      </c>
      <c r="F601" t="s">
        <v>34</v>
      </c>
      <c r="G601" t="s">
        <v>44</v>
      </c>
      <c r="H601" t="s">
        <v>21</v>
      </c>
      <c r="I601" s="1">
        <v>44892</v>
      </c>
      <c r="J601" s="1">
        <v>44900</v>
      </c>
      <c r="L601">
        <v>1</v>
      </c>
      <c r="M601">
        <v>8</v>
      </c>
      <c r="N601" t="s">
        <v>48</v>
      </c>
      <c r="O601">
        <v>736865</v>
      </c>
      <c r="U601">
        <f>Table1[[#This Row],[Interview_Date]]-Table1[[#This Row],[Application_Date]]</f>
        <v>8</v>
      </c>
      <c r="V601" t="str">
        <f>IF(OR(Table1[[#This Row],[Offer_Date]]="",Table1[[#This Row],[Interview_Date]]=""),"",Table1[[#This Row],[Offer_Date]]-Table1[[#This Row],[Interview_Date]])</f>
        <v/>
      </c>
    </row>
    <row r="602" spans="1:22" x14ac:dyDescent="0.3">
      <c r="A602" t="s">
        <v>657</v>
      </c>
      <c r="B602" t="s">
        <v>33</v>
      </c>
      <c r="C602" t="s">
        <v>66</v>
      </c>
      <c r="D602" t="s">
        <v>26</v>
      </c>
      <c r="E602">
        <v>41</v>
      </c>
      <c r="F602" t="s">
        <v>74</v>
      </c>
      <c r="G602" t="s">
        <v>60</v>
      </c>
      <c r="H602" t="s">
        <v>51</v>
      </c>
      <c r="I602" s="1">
        <v>44229</v>
      </c>
      <c r="J602" s="1">
        <v>44243</v>
      </c>
      <c r="K602" s="1">
        <v>44250</v>
      </c>
      <c r="L602">
        <v>1</v>
      </c>
      <c r="M602">
        <v>3</v>
      </c>
      <c r="N602" t="s">
        <v>48</v>
      </c>
      <c r="O602">
        <v>646060</v>
      </c>
      <c r="U602">
        <f>Table1[[#This Row],[Interview_Date]]-Table1[[#This Row],[Application_Date]]</f>
        <v>14</v>
      </c>
      <c r="V602">
        <f>IF(OR(Table1[[#This Row],[Offer_Date]]="",Table1[[#This Row],[Interview_Date]]=""),"",Table1[[#This Row],[Offer_Date]]-Table1[[#This Row],[Interview_Date]])</f>
        <v>7</v>
      </c>
    </row>
    <row r="603" spans="1:22" x14ac:dyDescent="0.3">
      <c r="A603" t="s">
        <v>658</v>
      </c>
      <c r="B603" t="s">
        <v>33</v>
      </c>
      <c r="C603" t="s">
        <v>17</v>
      </c>
      <c r="D603" t="s">
        <v>26</v>
      </c>
      <c r="E603">
        <v>27</v>
      </c>
      <c r="F603" t="s">
        <v>34</v>
      </c>
      <c r="G603" t="s">
        <v>20</v>
      </c>
      <c r="H603" t="s">
        <v>54</v>
      </c>
      <c r="I603" s="1">
        <v>44850</v>
      </c>
      <c r="J603" s="1">
        <v>44864</v>
      </c>
      <c r="K603" s="1">
        <v>44870</v>
      </c>
      <c r="L603">
        <v>4</v>
      </c>
      <c r="M603">
        <v>3</v>
      </c>
      <c r="N603" t="s">
        <v>48</v>
      </c>
      <c r="O603">
        <v>1127286</v>
      </c>
      <c r="U603">
        <f>Table1[[#This Row],[Interview_Date]]-Table1[[#This Row],[Application_Date]]</f>
        <v>14</v>
      </c>
      <c r="V603">
        <f>IF(OR(Table1[[#This Row],[Offer_Date]]="",Table1[[#This Row],[Interview_Date]]=""),"",Table1[[#This Row],[Offer_Date]]-Table1[[#This Row],[Interview_Date]])</f>
        <v>6</v>
      </c>
    </row>
    <row r="604" spans="1:22" x14ac:dyDescent="0.3">
      <c r="A604" t="s">
        <v>659</v>
      </c>
      <c r="B604" t="s">
        <v>72</v>
      </c>
      <c r="C604" t="s">
        <v>53</v>
      </c>
      <c r="D604" t="s">
        <v>26</v>
      </c>
      <c r="E604">
        <v>38</v>
      </c>
      <c r="F604" t="s">
        <v>19</v>
      </c>
      <c r="G604" t="s">
        <v>60</v>
      </c>
      <c r="H604" t="s">
        <v>36</v>
      </c>
      <c r="I604" s="1">
        <v>44823</v>
      </c>
      <c r="J604" s="1">
        <v>44833</v>
      </c>
      <c r="L604">
        <v>4</v>
      </c>
      <c r="M604">
        <v>7</v>
      </c>
      <c r="N604" t="s">
        <v>45</v>
      </c>
      <c r="O604">
        <v>660287</v>
      </c>
      <c r="U604">
        <f>Table1[[#This Row],[Interview_Date]]-Table1[[#This Row],[Application_Date]]</f>
        <v>10</v>
      </c>
      <c r="V604" t="str">
        <f>IF(OR(Table1[[#This Row],[Offer_Date]]="",Table1[[#This Row],[Interview_Date]]=""),"",Table1[[#This Row],[Offer_Date]]-Table1[[#This Row],[Interview_Date]])</f>
        <v/>
      </c>
    </row>
    <row r="605" spans="1:22" x14ac:dyDescent="0.3">
      <c r="A605" t="s">
        <v>660</v>
      </c>
      <c r="B605" t="s">
        <v>72</v>
      </c>
      <c r="C605" t="s">
        <v>50</v>
      </c>
      <c r="D605" t="s">
        <v>18</v>
      </c>
      <c r="E605">
        <v>42</v>
      </c>
      <c r="F605" t="s">
        <v>31</v>
      </c>
      <c r="G605" t="s">
        <v>20</v>
      </c>
      <c r="H605" t="s">
        <v>36</v>
      </c>
      <c r="I605" s="1">
        <v>44208</v>
      </c>
      <c r="J605" s="1">
        <v>44217</v>
      </c>
      <c r="K605" s="1">
        <v>44219</v>
      </c>
      <c r="L605">
        <v>5</v>
      </c>
      <c r="M605">
        <v>3</v>
      </c>
      <c r="N605" t="s">
        <v>48</v>
      </c>
      <c r="O605">
        <v>983319</v>
      </c>
      <c r="U605">
        <f>Table1[[#This Row],[Interview_Date]]-Table1[[#This Row],[Application_Date]]</f>
        <v>9</v>
      </c>
      <c r="V605">
        <f>IF(OR(Table1[[#This Row],[Offer_Date]]="",Table1[[#This Row],[Interview_Date]]=""),"",Table1[[#This Row],[Offer_Date]]-Table1[[#This Row],[Interview_Date]])</f>
        <v>2</v>
      </c>
    </row>
    <row r="606" spans="1:22" x14ac:dyDescent="0.3">
      <c r="A606" t="s">
        <v>661</v>
      </c>
      <c r="B606" t="s">
        <v>47</v>
      </c>
      <c r="C606" t="s">
        <v>30</v>
      </c>
      <c r="D606" t="s">
        <v>26</v>
      </c>
      <c r="E606">
        <v>34</v>
      </c>
      <c r="F606" t="s">
        <v>74</v>
      </c>
      <c r="G606" t="s">
        <v>60</v>
      </c>
      <c r="H606" t="s">
        <v>51</v>
      </c>
      <c r="I606" s="1">
        <v>44415</v>
      </c>
      <c r="J606" s="1">
        <v>44428</v>
      </c>
      <c r="L606">
        <v>2</v>
      </c>
      <c r="M606">
        <v>4</v>
      </c>
      <c r="N606" t="s">
        <v>48</v>
      </c>
      <c r="O606">
        <v>482632</v>
      </c>
      <c r="U606">
        <f>Table1[[#This Row],[Interview_Date]]-Table1[[#This Row],[Application_Date]]</f>
        <v>13</v>
      </c>
      <c r="V606" t="str">
        <f>IF(OR(Table1[[#This Row],[Offer_Date]]="",Table1[[#This Row],[Interview_Date]]=""),"",Table1[[#This Row],[Offer_Date]]-Table1[[#This Row],[Interview_Date]])</f>
        <v/>
      </c>
    </row>
    <row r="607" spans="1:22" x14ac:dyDescent="0.3">
      <c r="A607" t="s">
        <v>662</v>
      </c>
      <c r="B607" t="s">
        <v>38</v>
      </c>
      <c r="C607" t="s">
        <v>69</v>
      </c>
      <c r="D607" t="s">
        <v>18</v>
      </c>
      <c r="E607">
        <v>29</v>
      </c>
      <c r="F607" t="s">
        <v>56</v>
      </c>
      <c r="G607" t="s">
        <v>27</v>
      </c>
      <c r="H607" t="s">
        <v>51</v>
      </c>
      <c r="I607" s="1">
        <v>45097</v>
      </c>
      <c r="J607" s="1">
        <v>45106</v>
      </c>
      <c r="K607" s="1">
        <v>45111</v>
      </c>
      <c r="L607">
        <v>3</v>
      </c>
      <c r="M607">
        <v>10</v>
      </c>
      <c r="N607" t="s">
        <v>22</v>
      </c>
      <c r="O607">
        <v>851153</v>
      </c>
      <c r="U607">
        <f>Table1[[#This Row],[Interview_Date]]-Table1[[#This Row],[Application_Date]]</f>
        <v>9</v>
      </c>
      <c r="V607">
        <f>IF(OR(Table1[[#This Row],[Offer_Date]]="",Table1[[#This Row],[Interview_Date]]=""),"",Table1[[#This Row],[Offer_Date]]-Table1[[#This Row],[Interview_Date]])</f>
        <v>5</v>
      </c>
    </row>
    <row r="608" spans="1:22" x14ac:dyDescent="0.3">
      <c r="A608" t="s">
        <v>663</v>
      </c>
      <c r="B608" t="s">
        <v>47</v>
      </c>
      <c r="C608" t="s">
        <v>53</v>
      </c>
      <c r="D608" t="s">
        <v>18</v>
      </c>
      <c r="E608">
        <v>42</v>
      </c>
      <c r="F608" t="s">
        <v>39</v>
      </c>
      <c r="G608" t="s">
        <v>27</v>
      </c>
      <c r="H608" t="s">
        <v>51</v>
      </c>
      <c r="I608" s="1">
        <v>45184</v>
      </c>
      <c r="J608" s="1">
        <v>45190</v>
      </c>
      <c r="L608">
        <v>1</v>
      </c>
      <c r="M608">
        <v>2</v>
      </c>
      <c r="N608" t="s">
        <v>28</v>
      </c>
      <c r="O608">
        <v>911459</v>
      </c>
      <c r="U608">
        <f>Table1[[#This Row],[Interview_Date]]-Table1[[#This Row],[Application_Date]]</f>
        <v>6</v>
      </c>
      <c r="V608" t="str">
        <f>IF(OR(Table1[[#This Row],[Offer_Date]]="",Table1[[#This Row],[Interview_Date]]=""),"",Table1[[#This Row],[Offer_Date]]-Table1[[#This Row],[Interview_Date]])</f>
        <v/>
      </c>
    </row>
    <row r="609" spans="1:22" x14ac:dyDescent="0.3">
      <c r="A609" t="s">
        <v>664</v>
      </c>
      <c r="B609" t="s">
        <v>47</v>
      </c>
      <c r="C609" t="s">
        <v>43</v>
      </c>
      <c r="D609" t="s">
        <v>26</v>
      </c>
      <c r="E609">
        <v>43</v>
      </c>
      <c r="F609" t="s">
        <v>74</v>
      </c>
      <c r="G609" t="s">
        <v>60</v>
      </c>
      <c r="H609" t="s">
        <v>21</v>
      </c>
      <c r="I609" s="1">
        <v>44752</v>
      </c>
      <c r="J609" s="1">
        <v>44761</v>
      </c>
      <c r="L609">
        <v>3</v>
      </c>
      <c r="M609">
        <v>7</v>
      </c>
      <c r="N609" t="s">
        <v>48</v>
      </c>
      <c r="O609">
        <v>1097677</v>
      </c>
      <c r="U609">
        <f>Table1[[#This Row],[Interview_Date]]-Table1[[#This Row],[Application_Date]]</f>
        <v>9</v>
      </c>
      <c r="V609" t="str">
        <f>IF(OR(Table1[[#This Row],[Offer_Date]]="",Table1[[#This Row],[Interview_Date]]=""),"",Table1[[#This Row],[Offer_Date]]-Table1[[#This Row],[Interview_Date]])</f>
        <v/>
      </c>
    </row>
    <row r="610" spans="1:22" x14ac:dyDescent="0.3">
      <c r="A610" t="s">
        <v>665</v>
      </c>
      <c r="B610" t="s">
        <v>42</v>
      </c>
      <c r="C610" t="s">
        <v>43</v>
      </c>
      <c r="D610" t="s">
        <v>18</v>
      </c>
      <c r="E610">
        <v>21</v>
      </c>
      <c r="F610" t="s">
        <v>31</v>
      </c>
      <c r="G610" t="s">
        <v>27</v>
      </c>
      <c r="H610" t="s">
        <v>40</v>
      </c>
      <c r="I610" s="1">
        <v>45327</v>
      </c>
      <c r="J610" s="1">
        <v>45339</v>
      </c>
      <c r="L610">
        <v>1</v>
      </c>
      <c r="M610">
        <v>2</v>
      </c>
      <c r="N610" t="s">
        <v>45</v>
      </c>
      <c r="O610">
        <v>369828</v>
      </c>
      <c r="U610">
        <f>Table1[[#This Row],[Interview_Date]]-Table1[[#This Row],[Application_Date]]</f>
        <v>12</v>
      </c>
      <c r="V610" t="str">
        <f>IF(OR(Table1[[#This Row],[Offer_Date]]="",Table1[[#This Row],[Interview_Date]]=""),"",Table1[[#This Row],[Offer_Date]]-Table1[[#This Row],[Interview_Date]])</f>
        <v/>
      </c>
    </row>
    <row r="611" spans="1:22" x14ac:dyDescent="0.3">
      <c r="A611" t="s">
        <v>666</v>
      </c>
      <c r="B611" t="s">
        <v>33</v>
      </c>
      <c r="C611" t="s">
        <v>25</v>
      </c>
      <c r="D611" t="s">
        <v>18</v>
      </c>
      <c r="E611">
        <v>35</v>
      </c>
      <c r="F611" t="s">
        <v>19</v>
      </c>
      <c r="G611" t="s">
        <v>60</v>
      </c>
      <c r="H611" t="s">
        <v>40</v>
      </c>
      <c r="I611" s="1">
        <v>45278</v>
      </c>
      <c r="J611" s="1">
        <v>45289</v>
      </c>
      <c r="K611" s="1">
        <v>45293</v>
      </c>
      <c r="L611">
        <v>4</v>
      </c>
      <c r="M611">
        <v>6</v>
      </c>
      <c r="N611" t="s">
        <v>28</v>
      </c>
      <c r="O611">
        <v>795156</v>
      </c>
      <c r="U611">
        <f>Table1[[#This Row],[Interview_Date]]-Table1[[#This Row],[Application_Date]]</f>
        <v>11</v>
      </c>
      <c r="V611">
        <f>IF(OR(Table1[[#This Row],[Offer_Date]]="",Table1[[#This Row],[Interview_Date]]=""),"",Table1[[#This Row],[Offer_Date]]-Table1[[#This Row],[Interview_Date]])</f>
        <v>4</v>
      </c>
    </row>
    <row r="612" spans="1:22" x14ac:dyDescent="0.3">
      <c r="A612" t="s">
        <v>667</v>
      </c>
      <c r="B612" t="s">
        <v>72</v>
      </c>
      <c r="C612" t="s">
        <v>17</v>
      </c>
      <c r="D612" t="s">
        <v>26</v>
      </c>
      <c r="E612">
        <v>36</v>
      </c>
      <c r="F612" t="s">
        <v>34</v>
      </c>
      <c r="G612" t="s">
        <v>27</v>
      </c>
      <c r="H612" t="s">
        <v>21</v>
      </c>
      <c r="I612" s="1">
        <v>44232</v>
      </c>
      <c r="J612" s="1">
        <v>44235</v>
      </c>
      <c r="L612">
        <v>4</v>
      </c>
      <c r="M612">
        <v>8</v>
      </c>
      <c r="N612" t="s">
        <v>22</v>
      </c>
      <c r="O612">
        <v>853538</v>
      </c>
      <c r="U612">
        <f>Table1[[#This Row],[Interview_Date]]-Table1[[#This Row],[Application_Date]]</f>
        <v>3</v>
      </c>
      <c r="V612" t="str">
        <f>IF(OR(Table1[[#This Row],[Offer_Date]]="",Table1[[#This Row],[Interview_Date]]=""),"",Table1[[#This Row],[Offer_Date]]-Table1[[#This Row],[Interview_Date]])</f>
        <v/>
      </c>
    </row>
    <row r="613" spans="1:22" x14ac:dyDescent="0.3">
      <c r="A613" t="s">
        <v>668</v>
      </c>
      <c r="B613" t="s">
        <v>47</v>
      </c>
      <c r="C613" t="s">
        <v>69</v>
      </c>
      <c r="D613" t="s">
        <v>26</v>
      </c>
      <c r="E613">
        <v>44</v>
      </c>
      <c r="F613" t="s">
        <v>34</v>
      </c>
      <c r="G613" t="s">
        <v>35</v>
      </c>
      <c r="H613" t="s">
        <v>36</v>
      </c>
      <c r="I613" s="1">
        <v>44251</v>
      </c>
      <c r="J613" s="1">
        <v>44256</v>
      </c>
      <c r="K613" s="1">
        <v>44263</v>
      </c>
      <c r="L613">
        <v>1</v>
      </c>
      <c r="M613">
        <v>9</v>
      </c>
      <c r="N613" t="s">
        <v>28</v>
      </c>
      <c r="O613">
        <v>911704</v>
      </c>
      <c r="U613">
        <f>Table1[[#This Row],[Interview_Date]]-Table1[[#This Row],[Application_Date]]</f>
        <v>5</v>
      </c>
      <c r="V613">
        <f>IF(OR(Table1[[#This Row],[Offer_Date]]="",Table1[[#This Row],[Interview_Date]]=""),"",Table1[[#This Row],[Offer_Date]]-Table1[[#This Row],[Interview_Date]])</f>
        <v>7</v>
      </c>
    </row>
    <row r="614" spans="1:22" x14ac:dyDescent="0.3">
      <c r="A614" t="s">
        <v>669</v>
      </c>
      <c r="B614" t="s">
        <v>47</v>
      </c>
      <c r="C614" t="s">
        <v>30</v>
      </c>
      <c r="D614" t="s">
        <v>26</v>
      </c>
      <c r="E614">
        <v>25</v>
      </c>
      <c r="F614" t="s">
        <v>19</v>
      </c>
      <c r="G614" t="s">
        <v>44</v>
      </c>
      <c r="H614" t="s">
        <v>51</v>
      </c>
      <c r="I614" s="1">
        <v>44683</v>
      </c>
      <c r="J614" s="1">
        <v>44692</v>
      </c>
      <c r="L614">
        <v>5</v>
      </c>
      <c r="M614">
        <v>5</v>
      </c>
      <c r="N614" t="s">
        <v>45</v>
      </c>
      <c r="O614">
        <v>928952</v>
      </c>
      <c r="U614">
        <f>Table1[[#This Row],[Interview_Date]]-Table1[[#This Row],[Application_Date]]</f>
        <v>9</v>
      </c>
      <c r="V614" t="str">
        <f>IF(OR(Table1[[#This Row],[Offer_Date]]="",Table1[[#This Row],[Interview_Date]]=""),"",Table1[[#This Row],[Offer_Date]]-Table1[[#This Row],[Interview_Date]])</f>
        <v/>
      </c>
    </row>
    <row r="615" spans="1:22" x14ac:dyDescent="0.3">
      <c r="A615" t="s">
        <v>670</v>
      </c>
      <c r="B615" t="s">
        <v>63</v>
      </c>
      <c r="C615" t="s">
        <v>94</v>
      </c>
      <c r="D615" t="s">
        <v>18</v>
      </c>
      <c r="E615">
        <v>42</v>
      </c>
      <c r="F615" t="s">
        <v>56</v>
      </c>
      <c r="G615" t="s">
        <v>20</v>
      </c>
      <c r="H615" t="s">
        <v>21</v>
      </c>
      <c r="I615" s="1">
        <v>44389</v>
      </c>
      <c r="J615" s="1">
        <v>44403</v>
      </c>
      <c r="L615">
        <v>1</v>
      </c>
      <c r="M615">
        <v>8</v>
      </c>
      <c r="N615" t="s">
        <v>45</v>
      </c>
      <c r="O615">
        <v>1159661</v>
      </c>
      <c r="U615">
        <f>Table1[[#This Row],[Interview_Date]]-Table1[[#This Row],[Application_Date]]</f>
        <v>14</v>
      </c>
      <c r="V615" t="str">
        <f>IF(OR(Table1[[#This Row],[Offer_Date]]="",Table1[[#This Row],[Interview_Date]]=""),"",Table1[[#This Row],[Offer_Date]]-Table1[[#This Row],[Interview_Date]])</f>
        <v/>
      </c>
    </row>
    <row r="616" spans="1:22" x14ac:dyDescent="0.3">
      <c r="A616" t="s">
        <v>671</v>
      </c>
      <c r="B616" t="s">
        <v>72</v>
      </c>
      <c r="C616" t="s">
        <v>69</v>
      </c>
      <c r="D616" t="s">
        <v>26</v>
      </c>
      <c r="E616">
        <v>36</v>
      </c>
      <c r="F616" t="s">
        <v>56</v>
      </c>
      <c r="G616" t="s">
        <v>27</v>
      </c>
      <c r="H616" t="s">
        <v>36</v>
      </c>
      <c r="I616" s="1">
        <v>45363</v>
      </c>
      <c r="J616" s="1">
        <v>45376</v>
      </c>
      <c r="K616" s="1">
        <v>45380</v>
      </c>
      <c r="L616">
        <v>5</v>
      </c>
      <c r="M616">
        <v>7</v>
      </c>
      <c r="N616" t="s">
        <v>48</v>
      </c>
      <c r="O616">
        <v>1066713</v>
      </c>
      <c r="U616">
        <f>Table1[[#This Row],[Interview_Date]]-Table1[[#This Row],[Application_Date]]</f>
        <v>13</v>
      </c>
      <c r="V616">
        <f>IF(OR(Table1[[#This Row],[Offer_Date]]="",Table1[[#This Row],[Interview_Date]]=""),"",Table1[[#This Row],[Offer_Date]]-Table1[[#This Row],[Interview_Date]])</f>
        <v>4</v>
      </c>
    </row>
    <row r="617" spans="1:22" x14ac:dyDescent="0.3">
      <c r="A617" t="s">
        <v>672</v>
      </c>
      <c r="B617" t="s">
        <v>38</v>
      </c>
      <c r="C617" t="s">
        <v>50</v>
      </c>
      <c r="D617" t="s">
        <v>26</v>
      </c>
      <c r="E617">
        <v>28</v>
      </c>
      <c r="F617" t="s">
        <v>31</v>
      </c>
      <c r="G617" t="s">
        <v>44</v>
      </c>
      <c r="H617" t="s">
        <v>36</v>
      </c>
      <c r="I617" s="1">
        <v>44243</v>
      </c>
      <c r="J617" s="1">
        <v>44257</v>
      </c>
      <c r="L617">
        <v>3</v>
      </c>
      <c r="M617">
        <v>2</v>
      </c>
      <c r="N617" t="s">
        <v>22</v>
      </c>
      <c r="O617">
        <v>424245</v>
      </c>
      <c r="U617">
        <f>Table1[[#This Row],[Interview_Date]]-Table1[[#This Row],[Application_Date]]</f>
        <v>14</v>
      </c>
      <c r="V617" t="str">
        <f>IF(OR(Table1[[#This Row],[Offer_Date]]="",Table1[[#This Row],[Interview_Date]]=""),"",Table1[[#This Row],[Offer_Date]]-Table1[[#This Row],[Interview_Date]])</f>
        <v/>
      </c>
    </row>
    <row r="618" spans="1:22" x14ac:dyDescent="0.3">
      <c r="A618" t="s">
        <v>673</v>
      </c>
      <c r="B618" t="s">
        <v>38</v>
      </c>
      <c r="C618" t="s">
        <v>69</v>
      </c>
      <c r="D618" t="s">
        <v>26</v>
      </c>
      <c r="E618">
        <v>22</v>
      </c>
      <c r="F618" t="s">
        <v>39</v>
      </c>
      <c r="G618" t="s">
        <v>35</v>
      </c>
      <c r="H618" t="s">
        <v>40</v>
      </c>
      <c r="I618" s="1">
        <v>45100</v>
      </c>
      <c r="J618" s="1">
        <v>45111</v>
      </c>
      <c r="K618" s="1">
        <v>45117</v>
      </c>
      <c r="L618">
        <v>1</v>
      </c>
      <c r="M618">
        <v>5</v>
      </c>
      <c r="N618" t="s">
        <v>45</v>
      </c>
      <c r="O618">
        <v>1058795</v>
      </c>
      <c r="U618">
        <f>Table1[[#This Row],[Interview_Date]]-Table1[[#This Row],[Application_Date]]</f>
        <v>11</v>
      </c>
      <c r="V618">
        <f>IF(OR(Table1[[#This Row],[Offer_Date]]="",Table1[[#This Row],[Interview_Date]]=""),"",Table1[[#This Row],[Offer_Date]]-Table1[[#This Row],[Interview_Date]])</f>
        <v>6</v>
      </c>
    </row>
    <row r="619" spans="1:22" x14ac:dyDescent="0.3">
      <c r="A619" t="s">
        <v>674</v>
      </c>
      <c r="B619" t="s">
        <v>65</v>
      </c>
      <c r="C619" t="s">
        <v>94</v>
      </c>
      <c r="D619" t="s">
        <v>26</v>
      </c>
      <c r="E619">
        <v>26</v>
      </c>
      <c r="F619" t="s">
        <v>74</v>
      </c>
      <c r="G619" t="s">
        <v>27</v>
      </c>
      <c r="H619" t="s">
        <v>51</v>
      </c>
      <c r="I619" s="1">
        <v>45234</v>
      </c>
      <c r="J619" s="1">
        <v>45246</v>
      </c>
      <c r="K619" s="1">
        <v>45250</v>
      </c>
      <c r="L619">
        <v>2</v>
      </c>
      <c r="M619">
        <v>3</v>
      </c>
      <c r="N619" t="s">
        <v>28</v>
      </c>
      <c r="O619">
        <v>1033105</v>
      </c>
      <c r="U619">
        <f>Table1[[#This Row],[Interview_Date]]-Table1[[#This Row],[Application_Date]]</f>
        <v>12</v>
      </c>
      <c r="V619">
        <f>IF(OR(Table1[[#This Row],[Offer_Date]]="",Table1[[#This Row],[Interview_Date]]=""),"",Table1[[#This Row],[Offer_Date]]-Table1[[#This Row],[Interview_Date]])</f>
        <v>4</v>
      </c>
    </row>
    <row r="620" spans="1:22" x14ac:dyDescent="0.3">
      <c r="A620" t="s">
        <v>675</v>
      </c>
      <c r="B620" t="s">
        <v>63</v>
      </c>
      <c r="C620" t="s">
        <v>53</v>
      </c>
      <c r="D620" t="s">
        <v>26</v>
      </c>
      <c r="E620">
        <v>35</v>
      </c>
      <c r="F620" t="s">
        <v>74</v>
      </c>
      <c r="G620" t="s">
        <v>35</v>
      </c>
      <c r="H620" t="s">
        <v>36</v>
      </c>
      <c r="I620" s="1">
        <v>45050</v>
      </c>
      <c r="J620" s="1">
        <v>45058</v>
      </c>
      <c r="L620">
        <v>5</v>
      </c>
      <c r="M620">
        <v>6</v>
      </c>
      <c r="N620" t="s">
        <v>48</v>
      </c>
      <c r="O620">
        <v>1010317</v>
      </c>
      <c r="U620">
        <f>Table1[[#This Row],[Interview_Date]]-Table1[[#This Row],[Application_Date]]</f>
        <v>8</v>
      </c>
      <c r="V620" t="str">
        <f>IF(OR(Table1[[#This Row],[Offer_Date]]="",Table1[[#This Row],[Interview_Date]]=""),"",Table1[[#This Row],[Offer_Date]]-Table1[[#This Row],[Interview_Date]])</f>
        <v/>
      </c>
    </row>
    <row r="621" spans="1:22" x14ac:dyDescent="0.3">
      <c r="A621" t="s">
        <v>676</v>
      </c>
      <c r="B621" t="s">
        <v>63</v>
      </c>
      <c r="C621" t="s">
        <v>59</v>
      </c>
      <c r="D621" t="s">
        <v>18</v>
      </c>
      <c r="E621">
        <v>23</v>
      </c>
      <c r="F621" t="s">
        <v>39</v>
      </c>
      <c r="G621" t="s">
        <v>44</v>
      </c>
      <c r="H621" t="s">
        <v>36</v>
      </c>
      <c r="I621" s="1">
        <v>44755</v>
      </c>
      <c r="J621" s="1">
        <v>44767</v>
      </c>
      <c r="L621">
        <v>3</v>
      </c>
      <c r="M621">
        <v>10</v>
      </c>
      <c r="N621" t="s">
        <v>22</v>
      </c>
      <c r="O621">
        <v>628010</v>
      </c>
      <c r="U621">
        <f>Table1[[#This Row],[Interview_Date]]-Table1[[#This Row],[Application_Date]]</f>
        <v>12</v>
      </c>
      <c r="V621" t="str">
        <f>IF(OR(Table1[[#This Row],[Offer_Date]]="",Table1[[#This Row],[Interview_Date]]=""),"",Table1[[#This Row],[Offer_Date]]-Table1[[#This Row],[Interview_Date]])</f>
        <v/>
      </c>
    </row>
    <row r="622" spans="1:22" x14ac:dyDescent="0.3">
      <c r="A622" t="s">
        <v>677</v>
      </c>
      <c r="B622" t="s">
        <v>42</v>
      </c>
      <c r="C622" t="s">
        <v>30</v>
      </c>
      <c r="D622" t="s">
        <v>26</v>
      </c>
      <c r="E622">
        <v>32</v>
      </c>
      <c r="F622" t="s">
        <v>39</v>
      </c>
      <c r="G622" t="s">
        <v>35</v>
      </c>
      <c r="H622" t="s">
        <v>36</v>
      </c>
      <c r="I622" s="1">
        <v>44314</v>
      </c>
      <c r="J622" s="1">
        <v>44327</v>
      </c>
      <c r="L622">
        <v>5</v>
      </c>
      <c r="M622">
        <v>10</v>
      </c>
      <c r="N622" t="s">
        <v>28</v>
      </c>
      <c r="O622">
        <v>377632</v>
      </c>
      <c r="U622">
        <f>Table1[[#This Row],[Interview_Date]]-Table1[[#This Row],[Application_Date]]</f>
        <v>13</v>
      </c>
      <c r="V622" t="str">
        <f>IF(OR(Table1[[#This Row],[Offer_Date]]="",Table1[[#This Row],[Interview_Date]]=""),"",Table1[[#This Row],[Offer_Date]]-Table1[[#This Row],[Interview_Date]])</f>
        <v/>
      </c>
    </row>
    <row r="623" spans="1:22" x14ac:dyDescent="0.3">
      <c r="A623" t="s">
        <v>678</v>
      </c>
      <c r="B623" t="s">
        <v>72</v>
      </c>
      <c r="C623" t="s">
        <v>25</v>
      </c>
      <c r="D623" t="s">
        <v>26</v>
      </c>
      <c r="E623">
        <v>36</v>
      </c>
      <c r="F623" t="s">
        <v>31</v>
      </c>
      <c r="G623" t="s">
        <v>60</v>
      </c>
      <c r="H623" t="s">
        <v>36</v>
      </c>
      <c r="I623" s="1">
        <v>44882</v>
      </c>
      <c r="J623" s="1">
        <v>44896</v>
      </c>
      <c r="L623">
        <v>4</v>
      </c>
      <c r="M623">
        <v>4</v>
      </c>
      <c r="N623" t="s">
        <v>48</v>
      </c>
      <c r="O623">
        <v>779821</v>
      </c>
      <c r="U623">
        <f>Table1[[#This Row],[Interview_Date]]-Table1[[#This Row],[Application_Date]]</f>
        <v>14</v>
      </c>
      <c r="V623" t="str">
        <f>IF(OR(Table1[[#This Row],[Offer_Date]]="",Table1[[#This Row],[Interview_Date]]=""),"",Table1[[#This Row],[Offer_Date]]-Table1[[#This Row],[Interview_Date]])</f>
        <v/>
      </c>
    </row>
    <row r="624" spans="1:22" x14ac:dyDescent="0.3">
      <c r="A624" t="s">
        <v>679</v>
      </c>
      <c r="B624" t="s">
        <v>47</v>
      </c>
      <c r="C624" t="s">
        <v>50</v>
      </c>
      <c r="D624" t="s">
        <v>26</v>
      </c>
      <c r="E624">
        <v>26</v>
      </c>
      <c r="F624" t="s">
        <v>31</v>
      </c>
      <c r="G624" t="s">
        <v>20</v>
      </c>
      <c r="H624" t="s">
        <v>51</v>
      </c>
      <c r="I624" s="1">
        <v>45173</v>
      </c>
      <c r="J624" s="1">
        <v>45182</v>
      </c>
      <c r="K624" s="1">
        <v>45189</v>
      </c>
      <c r="L624">
        <v>1</v>
      </c>
      <c r="M624">
        <v>6</v>
      </c>
      <c r="N624" t="s">
        <v>45</v>
      </c>
      <c r="O624">
        <v>887363</v>
      </c>
      <c r="U624">
        <f>Table1[[#This Row],[Interview_Date]]-Table1[[#This Row],[Application_Date]]</f>
        <v>9</v>
      </c>
      <c r="V624">
        <f>IF(OR(Table1[[#This Row],[Offer_Date]]="",Table1[[#This Row],[Interview_Date]]=""),"",Table1[[#This Row],[Offer_Date]]-Table1[[#This Row],[Interview_Date]])</f>
        <v>7</v>
      </c>
    </row>
    <row r="625" spans="1:22" x14ac:dyDescent="0.3">
      <c r="A625" t="s">
        <v>680</v>
      </c>
      <c r="B625" t="s">
        <v>63</v>
      </c>
      <c r="C625" t="s">
        <v>66</v>
      </c>
      <c r="D625" t="s">
        <v>26</v>
      </c>
      <c r="E625">
        <v>37</v>
      </c>
      <c r="F625" t="s">
        <v>74</v>
      </c>
      <c r="G625" t="s">
        <v>27</v>
      </c>
      <c r="H625" t="s">
        <v>21</v>
      </c>
      <c r="I625" s="1">
        <v>44301</v>
      </c>
      <c r="J625" s="1">
        <v>44304</v>
      </c>
      <c r="L625">
        <v>2</v>
      </c>
      <c r="M625">
        <v>9</v>
      </c>
      <c r="N625" t="s">
        <v>45</v>
      </c>
      <c r="O625">
        <v>1112790</v>
      </c>
      <c r="U625">
        <f>Table1[[#This Row],[Interview_Date]]-Table1[[#This Row],[Application_Date]]</f>
        <v>3</v>
      </c>
      <c r="V625" t="str">
        <f>IF(OR(Table1[[#This Row],[Offer_Date]]="",Table1[[#This Row],[Interview_Date]]=""),"",Table1[[#This Row],[Offer_Date]]-Table1[[#This Row],[Interview_Date]])</f>
        <v/>
      </c>
    </row>
    <row r="626" spans="1:22" x14ac:dyDescent="0.3">
      <c r="A626" t="s">
        <v>681</v>
      </c>
      <c r="B626" t="s">
        <v>47</v>
      </c>
      <c r="C626" t="s">
        <v>50</v>
      </c>
      <c r="D626" t="s">
        <v>26</v>
      </c>
      <c r="E626">
        <v>22</v>
      </c>
      <c r="F626" t="s">
        <v>31</v>
      </c>
      <c r="G626" t="s">
        <v>20</v>
      </c>
      <c r="H626" t="s">
        <v>51</v>
      </c>
      <c r="I626" s="1">
        <v>45189</v>
      </c>
      <c r="J626" s="1">
        <v>45197</v>
      </c>
      <c r="K626" s="1">
        <v>45202</v>
      </c>
      <c r="L626">
        <v>5</v>
      </c>
      <c r="M626">
        <v>10</v>
      </c>
      <c r="N626" t="s">
        <v>22</v>
      </c>
      <c r="O626">
        <v>436789</v>
      </c>
      <c r="U626">
        <f>Table1[[#This Row],[Interview_Date]]-Table1[[#This Row],[Application_Date]]</f>
        <v>8</v>
      </c>
      <c r="V626">
        <f>IF(OR(Table1[[#This Row],[Offer_Date]]="",Table1[[#This Row],[Interview_Date]]=""),"",Table1[[#This Row],[Offer_Date]]-Table1[[#This Row],[Interview_Date]])</f>
        <v>5</v>
      </c>
    </row>
    <row r="627" spans="1:22" x14ac:dyDescent="0.3">
      <c r="A627" t="s">
        <v>682</v>
      </c>
      <c r="B627" t="s">
        <v>38</v>
      </c>
      <c r="C627" t="s">
        <v>94</v>
      </c>
      <c r="D627" t="s">
        <v>26</v>
      </c>
      <c r="E627">
        <v>36</v>
      </c>
      <c r="F627" t="s">
        <v>31</v>
      </c>
      <c r="G627" t="s">
        <v>60</v>
      </c>
      <c r="H627" t="s">
        <v>36</v>
      </c>
      <c r="I627" s="1">
        <v>44865</v>
      </c>
      <c r="J627" s="1">
        <v>44875</v>
      </c>
      <c r="K627" s="1">
        <v>44878</v>
      </c>
      <c r="L627">
        <v>3</v>
      </c>
      <c r="M627">
        <v>5</v>
      </c>
      <c r="N627" t="s">
        <v>22</v>
      </c>
      <c r="O627">
        <v>315665</v>
      </c>
      <c r="U627">
        <f>Table1[[#This Row],[Interview_Date]]-Table1[[#This Row],[Application_Date]]</f>
        <v>10</v>
      </c>
      <c r="V627">
        <f>IF(OR(Table1[[#This Row],[Offer_Date]]="",Table1[[#This Row],[Interview_Date]]=""),"",Table1[[#This Row],[Offer_Date]]-Table1[[#This Row],[Interview_Date]])</f>
        <v>3</v>
      </c>
    </row>
    <row r="628" spans="1:22" x14ac:dyDescent="0.3">
      <c r="A628" t="s">
        <v>683</v>
      </c>
      <c r="B628" t="s">
        <v>42</v>
      </c>
      <c r="C628" t="s">
        <v>59</v>
      </c>
      <c r="D628" t="s">
        <v>18</v>
      </c>
      <c r="E628">
        <v>36</v>
      </c>
      <c r="F628" t="s">
        <v>39</v>
      </c>
      <c r="G628" t="s">
        <v>44</v>
      </c>
      <c r="H628" t="s">
        <v>36</v>
      </c>
      <c r="I628" s="1">
        <v>44412</v>
      </c>
      <c r="J628" s="1">
        <v>44420</v>
      </c>
      <c r="K628" s="1">
        <v>44422</v>
      </c>
      <c r="L628">
        <v>1</v>
      </c>
      <c r="M628">
        <v>3</v>
      </c>
      <c r="N628" t="s">
        <v>28</v>
      </c>
      <c r="O628">
        <v>603847</v>
      </c>
      <c r="U628">
        <f>Table1[[#This Row],[Interview_Date]]-Table1[[#This Row],[Application_Date]]</f>
        <v>8</v>
      </c>
      <c r="V628">
        <f>IF(OR(Table1[[#This Row],[Offer_Date]]="",Table1[[#This Row],[Interview_Date]]=""),"",Table1[[#This Row],[Offer_Date]]-Table1[[#This Row],[Interview_Date]])</f>
        <v>2</v>
      </c>
    </row>
    <row r="629" spans="1:22" x14ac:dyDescent="0.3">
      <c r="A629" t="s">
        <v>684</v>
      </c>
      <c r="B629" t="s">
        <v>16</v>
      </c>
      <c r="C629" t="s">
        <v>43</v>
      </c>
      <c r="D629" t="s">
        <v>26</v>
      </c>
      <c r="E629">
        <v>35</v>
      </c>
      <c r="F629" t="s">
        <v>74</v>
      </c>
      <c r="G629" t="s">
        <v>60</v>
      </c>
      <c r="H629" t="s">
        <v>51</v>
      </c>
      <c r="I629" s="1">
        <v>45037</v>
      </c>
      <c r="J629" s="1">
        <v>45050</v>
      </c>
      <c r="L629">
        <v>5</v>
      </c>
      <c r="M629">
        <v>8</v>
      </c>
      <c r="N629" t="s">
        <v>22</v>
      </c>
      <c r="O629">
        <v>811492</v>
      </c>
      <c r="U629">
        <f>Table1[[#This Row],[Interview_Date]]-Table1[[#This Row],[Application_Date]]</f>
        <v>13</v>
      </c>
      <c r="V629" t="str">
        <f>IF(OR(Table1[[#This Row],[Offer_Date]]="",Table1[[#This Row],[Interview_Date]]=""),"",Table1[[#This Row],[Offer_Date]]-Table1[[#This Row],[Interview_Date]])</f>
        <v/>
      </c>
    </row>
    <row r="630" spans="1:22" x14ac:dyDescent="0.3">
      <c r="A630" t="s">
        <v>685</v>
      </c>
      <c r="B630" t="s">
        <v>63</v>
      </c>
      <c r="C630" t="s">
        <v>17</v>
      </c>
      <c r="D630" t="s">
        <v>26</v>
      </c>
      <c r="E630">
        <v>35</v>
      </c>
      <c r="F630" t="s">
        <v>39</v>
      </c>
      <c r="G630" t="s">
        <v>20</v>
      </c>
      <c r="H630" t="s">
        <v>54</v>
      </c>
      <c r="I630" s="1">
        <v>44848</v>
      </c>
      <c r="J630" s="1">
        <v>44855</v>
      </c>
      <c r="L630">
        <v>2</v>
      </c>
      <c r="M630">
        <v>3</v>
      </c>
      <c r="N630" t="s">
        <v>22</v>
      </c>
      <c r="O630">
        <v>932176</v>
      </c>
      <c r="U630">
        <f>Table1[[#This Row],[Interview_Date]]-Table1[[#This Row],[Application_Date]]</f>
        <v>7</v>
      </c>
      <c r="V630" t="str">
        <f>IF(OR(Table1[[#This Row],[Offer_Date]]="",Table1[[#This Row],[Interview_Date]]=""),"",Table1[[#This Row],[Offer_Date]]-Table1[[#This Row],[Interview_Date]])</f>
        <v/>
      </c>
    </row>
    <row r="631" spans="1:22" x14ac:dyDescent="0.3">
      <c r="A631" t="s">
        <v>686</v>
      </c>
      <c r="B631" t="s">
        <v>24</v>
      </c>
      <c r="C631" t="s">
        <v>53</v>
      </c>
      <c r="D631" t="s">
        <v>18</v>
      </c>
      <c r="E631">
        <v>33</v>
      </c>
      <c r="F631" t="s">
        <v>39</v>
      </c>
      <c r="G631" t="s">
        <v>27</v>
      </c>
      <c r="H631" t="s">
        <v>54</v>
      </c>
      <c r="I631" s="1">
        <v>44868</v>
      </c>
      <c r="J631" s="1">
        <v>44877</v>
      </c>
      <c r="K631" s="1">
        <v>44882</v>
      </c>
      <c r="L631">
        <v>4</v>
      </c>
      <c r="M631">
        <v>7</v>
      </c>
      <c r="N631" t="s">
        <v>22</v>
      </c>
      <c r="O631">
        <v>863497</v>
      </c>
      <c r="U631">
        <f>Table1[[#This Row],[Interview_Date]]-Table1[[#This Row],[Application_Date]]</f>
        <v>9</v>
      </c>
      <c r="V631">
        <f>IF(OR(Table1[[#This Row],[Offer_Date]]="",Table1[[#This Row],[Interview_Date]]=""),"",Table1[[#This Row],[Offer_Date]]-Table1[[#This Row],[Interview_Date]])</f>
        <v>5</v>
      </c>
    </row>
    <row r="632" spans="1:22" x14ac:dyDescent="0.3">
      <c r="A632" t="s">
        <v>687</v>
      </c>
      <c r="B632" t="s">
        <v>33</v>
      </c>
      <c r="C632" t="s">
        <v>53</v>
      </c>
      <c r="D632" t="s">
        <v>18</v>
      </c>
      <c r="E632">
        <v>42</v>
      </c>
      <c r="F632" t="s">
        <v>31</v>
      </c>
      <c r="G632" t="s">
        <v>35</v>
      </c>
      <c r="H632" t="s">
        <v>51</v>
      </c>
      <c r="I632" s="1">
        <v>45009</v>
      </c>
      <c r="J632" s="1">
        <v>45018</v>
      </c>
      <c r="L632">
        <v>5</v>
      </c>
      <c r="M632">
        <v>6</v>
      </c>
      <c r="N632" t="s">
        <v>22</v>
      </c>
      <c r="O632">
        <v>670497</v>
      </c>
      <c r="U632">
        <f>Table1[[#This Row],[Interview_Date]]-Table1[[#This Row],[Application_Date]]</f>
        <v>9</v>
      </c>
      <c r="V632" t="str">
        <f>IF(OR(Table1[[#This Row],[Offer_Date]]="",Table1[[#This Row],[Interview_Date]]=""),"",Table1[[#This Row],[Offer_Date]]-Table1[[#This Row],[Interview_Date]])</f>
        <v/>
      </c>
    </row>
    <row r="633" spans="1:22" x14ac:dyDescent="0.3">
      <c r="A633" t="s">
        <v>688</v>
      </c>
      <c r="B633" t="s">
        <v>47</v>
      </c>
      <c r="C633" t="s">
        <v>66</v>
      </c>
      <c r="D633" t="s">
        <v>26</v>
      </c>
      <c r="E633">
        <v>30</v>
      </c>
      <c r="F633" t="s">
        <v>39</v>
      </c>
      <c r="G633" t="s">
        <v>44</v>
      </c>
      <c r="H633" t="s">
        <v>40</v>
      </c>
      <c r="I633" s="1">
        <v>44202</v>
      </c>
      <c r="J633" s="1">
        <v>44207</v>
      </c>
      <c r="L633">
        <v>5</v>
      </c>
      <c r="M633">
        <v>3</v>
      </c>
      <c r="N633" t="s">
        <v>22</v>
      </c>
      <c r="O633">
        <v>1012939</v>
      </c>
      <c r="U633">
        <f>Table1[[#This Row],[Interview_Date]]-Table1[[#This Row],[Application_Date]]</f>
        <v>5</v>
      </c>
      <c r="V633" t="str">
        <f>IF(OR(Table1[[#This Row],[Offer_Date]]="",Table1[[#This Row],[Interview_Date]]=""),"",Table1[[#This Row],[Offer_Date]]-Table1[[#This Row],[Interview_Date]])</f>
        <v/>
      </c>
    </row>
    <row r="634" spans="1:22" x14ac:dyDescent="0.3">
      <c r="A634" t="s">
        <v>689</v>
      </c>
      <c r="B634" t="s">
        <v>63</v>
      </c>
      <c r="C634" t="s">
        <v>69</v>
      </c>
      <c r="D634" t="s">
        <v>26</v>
      </c>
      <c r="E634">
        <v>32</v>
      </c>
      <c r="F634" t="s">
        <v>39</v>
      </c>
      <c r="G634" t="s">
        <v>35</v>
      </c>
      <c r="H634" t="s">
        <v>36</v>
      </c>
      <c r="I634" s="1">
        <v>44835</v>
      </c>
      <c r="J634" s="1">
        <v>44838</v>
      </c>
      <c r="K634" s="1">
        <v>44842</v>
      </c>
      <c r="L634">
        <v>1</v>
      </c>
      <c r="M634">
        <v>4</v>
      </c>
      <c r="N634" t="s">
        <v>22</v>
      </c>
      <c r="O634">
        <v>1132659</v>
      </c>
      <c r="U634">
        <f>Table1[[#This Row],[Interview_Date]]-Table1[[#This Row],[Application_Date]]</f>
        <v>3</v>
      </c>
      <c r="V634">
        <f>IF(OR(Table1[[#This Row],[Offer_Date]]="",Table1[[#This Row],[Interview_Date]]=""),"",Table1[[#This Row],[Offer_Date]]-Table1[[#This Row],[Interview_Date]])</f>
        <v>4</v>
      </c>
    </row>
    <row r="635" spans="1:22" x14ac:dyDescent="0.3">
      <c r="A635" t="s">
        <v>690</v>
      </c>
      <c r="B635" t="s">
        <v>65</v>
      </c>
      <c r="C635" t="s">
        <v>30</v>
      </c>
      <c r="D635" t="s">
        <v>18</v>
      </c>
      <c r="E635">
        <v>25</v>
      </c>
      <c r="F635" t="s">
        <v>56</v>
      </c>
      <c r="G635" t="s">
        <v>20</v>
      </c>
      <c r="H635" t="s">
        <v>21</v>
      </c>
      <c r="I635" s="1">
        <v>44877</v>
      </c>
      <c r="J635" s="1">
        <v>44890</v>
      </c>
      <c r="L635">
        <v>2</v>
      </c>
      <c r="M635">
        <v>7</v>
      </c>
      <c r="N635" t="s">
        <v>45</v>
      </c>
      <c r="O635">
        <v>1111134</v>
      </c>
      <c r="U635">
        <f>Table1[[#This Row],[Interview_Date]]-Table1[[#This Row],[Application_Date]]</f>
        <v>13</v>
      </c>
      <c r="V635" t="str">
        <f>IF(OR(Table1[[#This Row],[Offer_Date]]="",Table1[[#This Row],[Interview_Date]]=""),"",Table1[[#This Row],[Offer_Date]]-Table1[[#This Row],[Interview_Date]])</f>
        <v/>
      </c>
    </row>
    <row r="636" spans="1:22" x14ac:dyDescent="0.3">
      <c r="A636" t="s">
        <v>691</v>
      </c>
      <c r="B636" t="s">
        <v>16</v>
      </c>
      <c r="C636" t="s">
        <v>53</v>
      </c>
      <c r="D636" t="s">
        <v>26</v>
      </c>
      <c r="E636">
        <v>30</v>
      </c>
      <c r="F636" t="s">
        <v>39</v>
      </c>
      <c r="G636" t="s">
        <v>27</v>
      </c>
      <c r="H636" t="s">
        <v>36</v>
      </c>
      <c r="I636" s="1">
        <v>44473</v>
      </c>
      <c r="J636" s="1">
        <v>44478</v>
      </c>
      <c r="K636" s="1">
        <v>44480</v>
      </c>
      <c r="L636">
        <v>5</v>
      </c>
      <c r="M636">
        <v>9</v>
      </c>
      <c r="N636" t="s">
        <v>45</v>
      </c>
      <c r="O636">
        <v>390844</v>
      </c>
      <c r="U636">
        <f>Table1[[#This Row],[Interview_Date]]-Table1[[#This Row],[Application_Date]]</f>
        <v>5</v>
      </c>
      <c r="V636">
        <f>IF(OR(Table1[[#This Row],[Offer_Date]]="",Table1[[#This Row],[Interview_Date]]=""),"",Table1[[#This Row],[Offer_Date]]-Table1[[#This Row],[Interview_Date]])</f>
        <v>2</v>
      </c>
    </row>
    <row r="637" spans="1:22" x14ac:dyDescent="0.3">
      <c r="A637" t="s">
        <v>692</v>
      </c>
      <c r="B637" t="s">
        <v>38</v>
      </c>
      <c r="C637" t="s">
        <v>69</v>
      </c>
      <c r="D637" t="s">
        <v>26</v>
      </c>
      <c r="E637">
        <v>23</v>
      </c>
      <c r="F637" t="s">
        <v>56</v>
      </c>
      <c r="G637" t="s">
        <v>27</v>
      </c>
      <c r="H637" t="s">
        <v>40</v>
      </c>
      <c r="I637" s="1">
        <v>44993</v>
      </c>
      <c r="J637" s="1">
        <v>44996</v>
      </c>
      <c r="K637" s="1">
        <v>45001</v>
      </c>
      <c r="L637">
        <v>2</v>
      </c>
      <c r="M637">
        <v>6</v>
      </c>
      <c r="N637" t="s">
        <v>22</v>
      </c>
      <c r="O637">
        <v>929438</v>
      </c>
      <c r="U637">
        <f>Table1[[#This Row],[Interview_Date]]-Table1[[#This Row],[Application_Date]]</f>
        <v>3</v>
      </c>
      <c r="V637">
        <f>IF(OR(Table1[[#This Row],[Offer_Date]]="",Table1[[#This Row],[Interview_Date]]=""),"",Table1[[#This Row],[Offer_Date]]-Table1[[#This Row],[Interview_Date]])</f>
        <v>5</v>
      </c>
    </row>
    <row r="638" spans="1:22" x14ac:dyDescent="0.3">
      <c r="A638" t="s">
        <v>693</v>
      </c>
      <c r="B638" t="s">
        <v>38</v>
      </c>
      <c r="C638" t="s">
        <v>94</v>
      </c>
      <c r="D638" t="s">
        <v>26</v>
      </c>
      <c r="E638">
        <v>43</v>
      </c>
      <c r="F638" t="s">
        <v>34</v>
      </c>
      <c r="G638" t="s">
        <v>35</v>
      </c>
      <c r="H638" t="s">
        <v>51</v>
      </c>
      <c r="I638" s="1">
        <v>44787</v>
      </c>
      <c r="J638" s="1">
        <v>44794</v>
      </c>
      <c r="L638">
        <v>5</v>
      </c>
      <c r="M638">
        <v>8</v>
      </c>
      <c r="N638" t="s">
        <v>45</v>
      </c>
      <c r="O638">
        <v>1172595</v>
      </c>
      <c r="U638">
        <f>Table1[[#This Row],[Interview_Date]]-Table1[[#This Row],[Application_Date]]</f>
        <v>7</v>
      </c>
      <c r="V638" t="str">
        <f>IF(OR(Table1[[#This Row],[Offer_Date]]="",Table1[[#This Row],[Interview_Date]]=""),"",Table1[[#This Row],[Offer_Date]]-Table1[[#This Row],[Interview_Date]])</f>
        <v/>
      </c>
    </row>
    <row r="639" spans="1:22" x14ac:dyDescent="0.3">
      <c r="A639" t="s">
        <v>694</v>
      </c>
      <c r="B639" t="s">
        <v>63</v>
      </c>
      <c r="C639" t="s">
        <v>43</v>
      </c>
      <c r="D639" t="s">
        <v>26</v>
      </c>
      <c r="E639">
        <v>22</v>
      </c>
      <c r="F639" t="s">
        <v>39</v>
      </c>
      <c r="G639" t="s">
        <v>44</v>
      </c>
      <c r="H639" t="s">
        <v>51</v>
      </c>
      <c r="I639" s="1">
        <v>44413</v>
      </c>
      <c r="J639" s="1">
        <v>44423</v>
      </c>
      <c r="L639">
        <v>1</v>
      </c>
      <c r="M639">
        <v>9</v>
      </c>
      <c r="N639" t="s">
        <v>28</v>
      </c>
      <c r="O639">
        <v>559810</v>
      </c>
      <c r="U639">
        <f>Table1[[#This Row],[Interview_Date]]-Table1[[#This Row],[Application_Date]]</f>
        <v>10</v>
      </c>
      <c r="V639" t="str">
        <f>IF(OR(Table1[[#This Row],[Offer_Date]]="",Table1[[#This Row],[Interview_Date]]=""),"",Table1[[#This Row],[Offer_Date]]-Table1[[#This Row],[Interview_Date]])</f>
        <v/>
      </c>
    </row>
    <row r="640" spans="1:22" x14ac:dyDescent="0.3">
      <c r="A640" t="s">
        <v>695</v>
      </c>
      <c r="B640" t="s">
        <v>63</v>
      </c>
      <c r="C640" t="s">
        <v>53</v>
      </c>
      <c r="D640" t="s">
        <v>26</v>
      </c>
      <c r="E640">
        <v>39</v>
      </c>
      <c r="F640" t="s">
        <v>31</v>
      </c>
      <c r="G640" t="s">
        <v>27</v>
      </c>
      <c r="H640" t="s">
        <v>40</v>
      </c>
      <c r="I640" s="1">
        <v>44328</v>
      </c>
      <c r="J640" s="1">
        <v>44342</v>
      </c>
      <c r="K640" s="1">
        <v>44344</v>
      </c>
      <c r="L640">
        <v>4</v>
      </c>
      <c r="M640">
        <v>3</v>
      </c>
      <c r="N640" t="s">
        <v>45</v>
      </c>
      <c r="O640">
        <v>451086</v>
      </c>
      <c r="U640">
        <f>Table1[[#This Row],[Interview_Date]]-Table1[[#This Row],[Application_Date]]</f>
        <v>14</v>
      </c>
      <c r="V640">
        <f>IF(OR(Table1[[#This Row],[Offer_Date]]="",Table1[[#This Row],[Interview_Date]]=""),"",Table1[[#This Row],[Offer_Date]]-Table1[[#This Row],[Interview_Date]])</f>
        <v>2</v>
      </c>
    </row>
    <row r="641" spans="1:22" x14ac:dyDescent="0.3">
      <c r="A641" t="s">
        <v>696</v>
      </c>
      <c r="B641" t="s">
        <v>63</v>
      </c>
      <c r="C641" t="s">
        <v>25</v>
      </c>
      <c r="D641" t="s">
        <v>18</v>
      </c>
      <c r="E641">
        <v>44</v>
      </c>
      <c r="F641" t="s">
        <v>19</v>
      </c>
      <c r="G641" t="s">
        <v>27</v>
      </c>
      <c r="H641" t="s">
        <v>21</v>
      </c>
      <c r="I641" s="1">
        <v>44389</v>
      </c>
      <c r="J641" s="1">
        <v>44395</v>
      </c>
      <c r="K641" s="1">
        <v>44402</v>
      </c>
      <c r="L641">
        <v>4</v>
      </c>
      <c r="M641">
        <v>4</v>
      </c>
      <c r="N641" t="s">
        <v>28</v>
      </c>
      <c r="O641">
        <v>514415</v>
      </c>
      <c r="U641">
        <f>Table1[[#This Row],[Interview_Date]]-Table1[[#This Row],[Application_Date]]</f>
        <v>6</v>
      </c>
      <c r="V641">
        <f>IF(OR(Table1[[#This Row],[Offer_Date]]="",Table1[[#This Row],[Interview_Date]]=""),"",Table1[[#This Row],[Offer_Date]]-Table1[[#This Row],[Interview_Date]])</f>
        <v>7</v>
      </c>
    </row>
    <row r="642" spans="1:22" x14ac:dyDescent="0.3">
      <c r="A642" t="s">
        <v>697</v>
      </c>
      <c r="B642" t="s">
        <v>63</v>
      </c>
      <c r="C642" t="s">
        <v>53</v>
      </c>
      <c r="D642" t="s">
        <v>26</v>
      </c>
      <c r="E642">
        <v>39</v>
      </c>
      <c r="F642" t="s">
        <v>19</v>
      </c>
      <c r="G642" t="s">
        <v>60</v>
      </c>
      <c r="H642" t="s">
        <v>54</v>
      </c>
      <c r="I642" s="1">
        <v>45012</v>
      </c>
      <c r="J642" s="1">
        <v>45023</v>
      </c>
      <c r="K642" s="1">
        <v>45026</v>
      </c>
      <c r="L642">
        <v>3</v>
      </c>
      <c r="M642">
        <v>3</v>
      </c>
      <c r="N642" t="s">
        <v>48</v>
      </c>
      <c r="O642">
        <v>534795</v>
      </c>
      <c r="U642">
        <f>Table1[[#This Row],[Interview_Date]]-Table1[[#This Row],[Application_Date]]</f>
        <v>11</v>
      </c>
      <c r="V642">
        <f>IF(OR(Table1[[#This Row],[Offer_Date]]="",Table1[[#This Row],[Interview_Date]]=""),"",Table1[[#This Row],[Offer_Date]]-Table1[[#This Row],[Interview_Date]])</f>
        <v>3</v>
      </c>
    </row>
    <row r="643" spans="1:22" x14ac:dyDescent="0.3">
      <c r="A643" t="s">
        <v>698</v>
      </c>
      <c r="B643" t="s">
        <v>24</v>
      </c>
      <c r="C643" t="s">
        <v>94</v>
      </c>
      <c r="D643" t="s">
        <v>26</v>
      </c>
      <c r="E643">
        <v>28</v>
      </c>
      <c r="F643" t="s">
        <v>56</v>
      </c>
      <c r="G643" t="s">
        <v>27</v>
      </c>
      <c r="H643" t="s">
        <v>40</v>
      </c>
      <c r="I643" s="1">
        <v>44919</v>
      </c>
      <c r="J643" s="1">
        <v>44926</v>
      </c>
      <c r="K643" s="1">
        <v>44932</v>
      </c>
      <c r="L643">
        <v>4</v>
      </c>
      <c r="M643">
        <v>10</v>
      </c>
      <c r="N643" t="s">
        <v>48</v>
      </c>
      <c r="O643">
        <v>906958</v>
      </c>
      <c r="U643">
        <f>Table1[[#This Row],[Interview_Date]]-Table1[[#This Row],[Application_Date]]</f>
        <v>7</v>
      </c>
      <c r="V643">
        <f>IF(OR(Table1[[#This Row],[Offer_Date]]="",Table1[[#This Row],[Interview_Date]]=""),"",Table1[[#This Row],[Offer_Date]]-Table1[[#This Row],[Interview_Date]])</f>
        <v>6</v>
      </c>
    </row>
    <row r="644" spans="1:22" x14ac:dyDescent="0.3">
      <c r="A644" t="s">
        <v>699</v>
      </c>
      <c r="B644" t="s">
        <v>63</v>
      </c>
      <c r="C644" t="s">
        <v>66</v>
      </c>
      <c r="D644" t="s">
        <v>18</v>
      </c>
      <c r="E644">
        <v>21</v>
      </c>
      <c r="F644" t="s">
        <v>56</v>
      </c>
      <c r="G644" t="s">
        <v>20</v>
      </c>
      <c r="H644" t="s">
        <v>51</v>
      </c>
      <c r="I644" s="1">
        <v>44282</v>
      </c>
      <c r="J644" s="1">
        <v>44285</v>
      </c>
      <c r="K644" s="1">
        <v>44291</v>
      </c>
      <c r="L644">
        <v>4</v>
      </c>
      <c r="M644">
        <v>2</v>
      </c>
      <c r="N644" t="s">
        <v>48</v>
      </c>
      <c r="O644">
        <v>595708</v>
      </c>
      <c r="U644">
        <f>Table1[[#This Row],[Interview_Date]]-Table1[[#This Row],[Application_Date]]</f>
        <v>3</v>
      </c>
      <c r="V644">
        <f>IF(OR(Table1[[#This Row],[Offer_Date]]="",Table1[[#This Row],[Interview_Date]]=""),"",Table1[[#This Row],[Offer_Date]]-Table1[[#This Row],[Interview_Date]])</f>
        <v>6</v>
      </c>
    </row>
    <row r="645" spans="1:22" x14ac:dyDescent="0.3">
      <c r="A645" t="s">
        <v>700</v>
      </c>
      <c r="B645" t="s">
        <v>42</v>
      </c>
      <c r="C645" t="s">
        <v>50</v>
      </c>
      <c r="D645" t="s">
        <v>18</v>
      </c>
      <c r="E645">
        <v>23</v>
      </c>
      <c r="F645" t="s">
        <v>39</v>
      </c>
      <c r="G645" t="s">
        <v>27</v>
      </c>
      <c r="H645" t="s">
        <v>40</v>
      </c>
      <c r="I645" s="1">
        <v>44487</v>
      </c>
      <c r="J645" s="1">
        <v>44495</v>
      </c>
      <c r="K645" s="1">
        <v>44498</v>
      </c>
      <c r="L645">
        <v>5</v>
      </c>
      <c r="M645">
        <v>3</v>
      </c>
      <c r="N645" t="s">
        <v>28</v>
      </c>
      <c r="O645">
        <v>1108768</v>
      </c>
      <c r="U645">
        <f>Table1[[#This Row],[Interview_Date]]-Table1[[#This Row],[Application_Date]]</f>
        <v>8</v>
      </c>
      <c r="V645">
        <f>IF(OR(Table1[[#This Row],[Offer_Date]]="",Table1[[#This Row],[Interview_Date]]=""),"",Table1[[#This Row],[Offer_Date]]-Table1[[#This Row],[Interview_Date]])</f>
        <v>3</v>
      </c>
    </row>
    <row r="646" spans="1:22" x14ac:dyDescent="0.3">
      <c r="A646" t="s">
        <v>701</v>
      </c>
      <c r="B646" t="s">
        <v>24</v>
      </c>
      <c r="C646" t="s">
        <v>25</v>
      </c>
      <c r="D646" t="s">
        <v>26</v>
      </c>
      <c r="E646">
        <v>34</v>
      </c>
      <c r="F646" t="s">
        <v>19</v>
      </c>
      <c r="G646" t="s">
        <v>44</v>
      </c>
      <c r="H646" t="s">
        <v>40</v>
      </c>
      <c r="I646" s="1">
        <v>44307</v>
      </c>
      <c r="J646" s="1">
        <v>44311</v>
      </c>
      <c r="K646" s="1">
        <v>44313</v>
      </c>
      <c r="L646">
        <v>3</v>
      </c>
      <c r="M646">
        <v>4</v>
      </c>
      <c r="N646" t="s">
        <v>22</v>
      </c>
      <c r="O646">
        <v>334342</v>
      </c>
      <c r="U646">
        <f>Table1[[#This Row],[Interview_Date]]-Table1[[#This Row],[Application_Date]]</f>
        <v>4</v>
      </c>
      <c r="V646">
        <f>IF(OR(Table1[[#This Row],[Offer_Date]]="",Table1[[#This Row],[Interview_Date]]=""),"",Table1[[#This Row],[Offer_Date]]-Table1[[#This Row],[Interview_Date]])</f>
        <v>2</v>
      </c>
    </row>
    <row r="647" spans="1:22" x14ac:dyDescent="0.3">
      <c r="A647" t="s">
        <v>702</v>
      </c>
      <c r="B647" t="s">
        <v>16</v>
      </c>
      <c r="C647" t="s">
        <v>94</v>
      </c>
      <c r="D647" t="s">
        <v>26</v>
      </c>
      <c r="E647">
        <v>39</v>
      </c>
      <c r="F647" t="s">
        <v>39</v>
      </c>
      <c r="G647" t="s">
        <v>27</v>
      </c>
      <c r="H647" t="s">
        <v>36</v>
      </c>
      <c r="I647" s="1">
        <v>44262</v>
      </c>
      <c r="J647" s="1">
        <v>44272</v>
      </c>
      <c r="L647">
        <v>1</v>
      </c>
      <c r="M647">
        <v>3</v>
      </c>
      <c r="N647" t="s">
        <v>48</v>
      </c>
      <c r="O647">
        <v>362462</v>
      </c>
      <c r="U647">
        <f>Table1[[#This Row],[Interview_Date]]-Table1[[#This Row],[Application_Date]]</f>
        <v>10</v>
      </c>
      <c r="V647" t="str">
        <f>IF(OR(Table1[[#This Row],[Offer_Date]]="",Table1[[#This Row],[Interview_Date]]=""),"",Table1[[#This Row],[Offer_Date]]-Table1[[#This Row],[Interview_Date]])</f>
        <v/>
      </c>
    </row>
    <row r="648" spans="1:22" x14ac:dyDescent="0.3">
      <c r="A648" t="s">
        <v>703</v>
      </c>
      <c r="B648" t="s">
        <v>33</v>
      </c>
      <c r="C648" t="s">
        <v>53</v>
      </c>
      <c r="D648" t="s">
        <v>26</v>
      </c>
      <c r="E648">
        <v>39</v>
      </c>
      <c r="F648" t="s">
        <v>56</v>
      </c>
      <c r="G648" t="s">
        <v>20</v>
      </c>
      <c r="H648" t="s">
        <v>54</v>
      </c>
      <c r="I648" s="1">
        <v>44310</v>
      </c>
      <c r="J648" s="1">
        <v>44323</v>
      </c>
      <c r="K648" s="1">
        <v>44330</v>
      </c>
      <c r="L648">
        <v>4</v>
      </c>
      <c r="M648">
        <v>8</v>
      </c>
      <c r="N648" t="s">
        <v>28</v>
      </c>
      <c r="O648">
        <v>552822</v>
      </c>
      <c r="U648">
        <f>Table1[[#This Row],[Interview_Date]]-Table1[[#This Row],[Application_Date]]</f>
        <v>13</v>
      </c>
      <c r="V648">
        <f>IF(OR(Table1[[#This Row],[Offer_Date]]="",Table1[[#This Row],[Interview_Date]]=""),"",Table1[[#This Row],[Offer_Date]]-Table1[[#This Row],[Interview_Date]])</f>
        <v>7</v>
      </c>
    </row>
    <row r="649" spans="1:22" x14ac:dyDescent="0.3">
      <c r="A649" t="s">
        <v>704</v>
      </c>
      <c r="B649" t="s">
        <v>63</v>
      </c>
      <c r="C649" t="s">
        <v>66</v>
      </c>
      <c r="D649" t="s">
        <v>26</v>
      </c>
      <c r="E649">
        <v>42</v>
      </c>
      <c r="F649" t="s">
        <v>74</v>
      </c>
      <c r="G649" t="s">
        <v>35</v>
      </c>
      <c r="H649" t="s">
        <v>51</v>
      </c>
      <c r="I649" s="1">
        <v>45005</v>
      </c>
      <c r="J649" s="1">
        <v>45019</v>
      </c>
      <c r="K649" s="1">
        <v>45026</v>
      </c>
      <c r="L649">
        <v>3</v>
      </c>
      <c r="M649">
        <v>2</v>
      </c>
      <c r="N649" t="s">
        <v>45</v>
      </c>
      <c r="O649">
        <v>816577</v>
      </c>
      <c r="U649">
        <f>Table1[[#This Row],[Interview_Date]]-Table1[[#This Row],[Application_Date]]</f>
        <v>14</v>
      </c>
      <c r="V649">
        <f>IF(OR(Table1[[#This Row],[Offer_Date]]="",Table1[[#This Row],[Interview_Date]]=""),"",Table1[[#This Row],[Offer_Date]]-Table1[[#This Row],[Interview_Date]])</f>
        <v>7</v>
      </c>
    </row>
    <row r="650" spans="1:22" x14ac:dyDescent="0.3">
      <c r="A650" t="s">
        <v>705</v>
      </c>
      <c r="B650" t="s">
        <v>47</v>
      </c>
      <c r="C650" t="s">
        <v>17</v>
      </c>
      <c r="D650" t="s">
        <v>26</v>
      </c>
      <c r="E650">
        <v>30</v>
      </c>
      <c r="F650" t="s">
        <v>74</v>
      </c>
      <c r="G650" t="s">
        <v>20</v>
      </c>
      <c r="H650" t="s">
        <v>40</v>
      </c>
      <c r="I650" s="1">
        <v>44412</v>
      </c>
      <c r="J650" s="1">
        <v>44427</v>
      </c>
      <c r="L650">
        <v>5</v>
      </c>
      <c r="M650">
        <v>3</v>
      </c>
      <c r="N650" t="s">
        <v>22</v>
      </c>
      <c r="O650">
        <v>620409</v>
      </c>
      <c r="U650">
        <f>Table1[[#This Row],[Interview_Date]]-Table1[[#This Row],[Application_Date]]</f>
        <v>15</v>
      </c>
      <c r="V650" t="str">
        <f>IF(OR(Table1[[#This Row],[Offer_Date]]="",Table1[[#This Row],[Interview_Date]]=""),"",Table1[[#This Row],[Offer_Date]]-Table1[[#This Row],[Interview_Date]])</f>
        <v/>
      </c>
    </row>
    <row r="651" spans="1:22" x14ac:dyDescent="0.3">
      <c r="A651" t="s">
        <v>706</v>
      </c>
      <c r="B651" t="s">
        <v>58</v>
      </c>
      <c r="C651" t="s">
        <v>30</v>
      </c>
      <c r="D651" t="s">
        <v>18</v>
      </c>
      <c r="E651">
        <v>36</v>
      </c>
      <c r="F651" t="s">
        <v>34</v>
      </c>
      <c r="G651" t="s">
        <v>27</v>
      </c>
      <c r="H651" t="s">
        <v>40</v>
      </c>
      <c r="I651" s="1">
        <v>45158</v>
      </c>
      <c r="J651" s="1">
        <v>45173</v>
      </c>
      <c r="L651">
        <v>3</v>
      </c>
      <c r="M651">
        <v>6</v>
      </c>
      <c r="N651" t="s">
        <v>22</v>
      </c>
      <c r="O651">
        <v>502999</v>
      </c>
      <c r="U651">
        <f>Table1[[#This Row],[Interview_Date]]-Table1[[#This Row],[Application_Date]]</f>
        <v>15</v>
      </c>
      <c r="V651" t="str">
        <f>IF(OR(Table1[[#This Row],[Offer_Date]]="",Table1[[#This Row],[Interview_Date]]=""),"",Table1[[#This Row],[Offer_Date]]-Table1[[#This Row],[Interview_Date]])</f>
        <v/>
      </c>
    </row>
    <row r="652" spans="1:22" x14ac:dyDescent="0.3">
      <c r="A652" t="s">
        <v>707</v>
      </c>
      <c r="B652" t="s">
        <v>58</v>
      </c>
      <c r="C652" t="s">
        <v>94</v>
      </c>
      <c r="D652" t="s">
        <v>26</v>
      </c>
      <c r="E652">
        <v>31</v>
      </c>
      <c r="F652" t="s">
        <v>19</v>
      </c>
      <c r="G652" t="s">
        <v>60</v>
      </c>
      <c r="H652" t="s">
        <v>36</v>
      </c>
      <c r="I652" s="1">
        <v>44963</v>
      </c>
      <c r="J652" s="1">
        <v>44974</v>
      </c>
      <c r="K652" s="1">
        <v>44980</v>
      </c>
      <c r="L652">
        <v>2</v>
      </c>
      <c r="M652">
        <v>2</v>
      </c>
      <c r="N652" t="s">
        <v>22</v>
      </c>
      <c r="O652">
        <v>529023</v>
      </c>
      <c r="U652">
        <f>Table1[[#This Row],[Interview_Date]]-Table1[[#This Row],[Application_Date]]</f>
        <v>11</v>
      </c>
      <c r="V652">
        <f>IF(OR(Table1[[#This Row],[Offer_Date]]="",Table1[[#This Row],[Interview_Date]]=""),"",Table1[[#This Row],[Offer_Date]]-Table1[[#This Row],[Interview_Date]])</f>
        <v>6</v>
      </c>
    </row>
    <row r="653" spans="1:22" x14ac:dyDescent="0.3">
      <c r="A653" t="s">
        <v>708</v>
      </c>
      <c r="B653" t="s">
        <v>38</v>
      </c>
      <c r="C653" t="s">
        <v>53</v>
      </c>
      <c r="D653" t="s">
        <v>26</v>
      </c>
      <c r="E653">
        <v>40</v>
      </c>
      <c r="F653" t="s">
        <v>19</v>
      </c>
      <c r="G653" t="s">
        <v>44</v>
      </c>
      <c r="H653" t="s">
        <v>40</v>
      </c>
      <c r="I653" s="1">
        <v>45060</v>
      </c>
      <c r="J653" s="1">
        <v>45069</v>
      </c>
      <c r="L653">
        <v>4</v>
      </c>
      <c r="M653">
        <v>7</v>
      </c>
      <c r="N653" t="s">
        <v>45</v>
      </c>
      <c r="O653">
        <v>620521</v>
      </c>
      <c r="U653">
        <f>Table1[[#This Row],[Interview_Date]]-Table1[[#This Row],[Application_Date]]</f>
        <v>9</v>
      </c>
      <c r="V653" t="str">
        <f>IF(OR(Table1[[#This Row],[Offer_Date]]="",Table1[[#This Row],[Interview_Date]]=""),"",Table1[[#This Row],[Offer_Date]]-Table1[[#This Row],[Interview_Date]])</f>
        <v/>
      </c>
    </row>
    <row r="654" spans="1:22" x14ac:dyDescent="0.3">
      <c r="A654" t="s">
        <v>709</v>
      </c>
      <c r="B654" t="s">
        <v>38</v>
      </c>
      <c r="C654" t="s">
        <v>59</v>
      </c>
      <c r="D654" t="s">
        <v>26</v>
      </c>
      <c r="E654">
        <v>41</v>
      </c>
      <c r="F654" t="s">
        <v>31</v>
      </c>
      <c r="G654" t="s">
        <v>27</v>
      </c>
      <c r="H654" t="s">
        <v>36</v>
      </c>
      <c r="I654" s="1">
        <v>44333</v>
      </c>
      <c r="J654" s="1">
        <v>44338</v>
      </c>
      <c r="K654" s="1">
        <v>44341</v>
      </c>
      <c r="L654">
        <v>3</v>
      </c>
      <c r="M654">
        <v>10</v>
      </c>
      <c r="N654" t="s">
        <v>45</v>
      </c>
      <c r="O654">
        <v>752496</v>
      </c>
      <c r="U654">
        <f>Table1[[#This Row],[Interview_Date]]-Table1[[#This Row],[Application_Date]]</f>
        <v>5</v>
      </c>
      <c r="V654">
        <f>IF(OR(Table1[[#This Row],[Offer_Date]]="",Table1[[#This Row],[Interview_Date]]=""),"",Table1[[#This Row],[Offer_Date]]-Table1[[#This Row],[Interview_Date]])</f>
        <v>3</v>
      </c>
    </row>
    <row r="655" spans="1:22" x14ac:dyDescent="0.3">
      <c r="A655" t="s">
        <v>710</v>
      </c>
      <c r="B655" t="s">
        <v>24</v>
      </c>
      <c r="C655" t="s">
        <v>66</v>
      </c>
      <c r="D655" t="s">
        <v>18</v>
      </c>
      <c r="E655">
        <v>36</v>
      </c>
      <c r="F655" t="s">
        <v>39</v>
      </c>
      <c r="G655" t="s">
        <v>44</v>
      </c>
      <c r="H655" t="s">
        <v>40</v>
      </c>
      <c r="I655" s="1">
        <v>44682</v>
      </c>
      <c r="J655" s="1">
        <v>44693</v>
      </c>
      <c r="L655">
        <v>3</v>
      </c>
      <c r="M655">
        <v>6</v>
      </c>
      <c r="N655" t="s">
        <v>28</v>
      </c>
      <c r="O655">
        <v>683027</v>
      </c>
      <c r="U655">
        <f>Table1[[#This Row],[Interview_Date]]-Table1[[#This Row],[Application_Date]]</f>
        <v>11</v>
      </c>
      <c r="V655" t="str">
        <f>IF(OR(Table1[[#This Row],[Offer_Date]]="",Table1[[#This Row],[Interview_Date]]=""),"",Table1[[#This Row],[Offer_Date]]-Table1[[#This Row],[Interview_Date]])</f>
        <v/>
      </c>
    </row>
    <row r="656" spans="1:22" x14ac:dyDescent="0.3">
      <c r="A656" t="s">
        <v>711</v>
      </c>
      <c r="B656" t="s">
        <v>33</v>
      </c>
      <c r="C656" t="s">
        <v>30</v>
      </c>
      <c r="D656" t="s">
        <v>26</v>
      </c>
      <c r="E656">
        <v>27</v>
      </c>
      <c r="F656" t="s">
        <v>39</v>
      </c>
      <c r="G656" t="s">
        <v>60</v>
      </c>
      <c r="H656" t="s">
        <v>54</v>
      </c>
      <c r="I656" s="1">
        <v>44401</v>
      </c>
      <c r="J656" s="1">
        <v>44410</v>
      </c>
      <c r="K656" s="1">
        <v>44417</v>
      </c>
      <c r="L656">
        <v>2</v>
      </c>
      <c r="M656">
        <v>5</v>
      </c>
      <c r="N656" t="s">
        <v>48</v>
      </c>
      <c r="O656">
        <v>819691</v>
      </c>
      <c r="U656">
        <f>Table1[[#This Row],[Interview_Date]]-Table1[[#This Row],[Application_Date]]</f>
        <v>9</v>
      </c>
      <c r="V656">
        <f>IF(OR(Table1[[#This Row],[Offer_Date]]="",Table1[[#This Row],[Interview_Date]]=""),"",Table1[[#This Row],[Offer_Date]]-Table1[[#This Row],[Interview_Date]])</f>
        <v>7</v>
      </c>
    </row>
    <row r="657" spans="1:22" x14ac:dyDescent="0.3">
      <c r="A657" t="s">
        <v>712</v>
      </c>
      <c r="B657" t="s">
        <v>38</v>
      </c>
      <c r="C657" t="s">
        <v>43</v>
      </c>
      <c r="D657" t="s">
        <v>26</v>
      </c>
      <c r="E657">
        <v>40</v>
      </c>
      <c r="F657" t="s">
        <v>34</v>
      </c>
      <c r="G657" t="s">
        <v>44</v>
      </c>
      <c r="H657" t="s">
        <v>51</v>
      </c>
      <c r="I657" s="1">
        <v>44664</v>
      </c>
      <c r="J657" s="1">
        <v>44675</v>
      </c>
      <c r="L657">
        <v>4</v>
      </c>
      <c r="M657">
        <v>9</v>
      </c>
      <c r="N657" t="s">
        <v>22</v>
      </c>
      <c r="O657">
        <v>998735</v>
      </c>
      <c r="U657">
        <f>Table1[[#This Row],[Interview_Date]]-Table1[[#This Row],[Application_Date]]</f>
        <v>11</v>
      </c>
      <c r="V657" t="str">
        <f>IF(OR(Table1[[#This Row],[Offer_Date]]="",Table1[[#This Row],[Interview_Date]]=""),"",Table1[[#This Row],[Offer_Date]]-Table1[[#This Row],[Interview_Date]])</f>
        <v/>
      </c>
    </row>
    <row r="658" spans="1:22" x14ac:dyDescent="0.3">
      <c r="A658" t="s">
        <v>713</v>
      </c>
      <c r="B658" t="s">
        <v>58</v>
      </c>
      <c r="C658" t="s">
        <v>66</v>
      </c>
      <c r="D658" t="s">
        <v>26</v>
      </c>
      <c r="E658">
        <v>35</v>
      </c>
      <c r="F658" t="s">
        <v>19</v>
      </c>
      <c r="G658" t="s">
        <v>20</v>
      </c>
      <c r="H658" t="s">
        <v>54</v>
      </c>
      <c r="I658" s="1">
        <v>44694</v>
      </c>
      <c r="J658" s="1">
        <v>44707</v>
      </c>
      <c r="L658">
        <v>3</v>
      </c>
      <c r="M658">
        <v>5</v>
      </c>
      <c r="N658" t="s">
        <v>28</v>
      </c>
      <c r="O658">
        <v>1039594</v>
      </c>
      <c r="U658">
        <f>Table1[[#This Row],[Interview_Date]]-Table1[[#This Row],[Application_Date]]</f>
        <v>13</v>
      </c>
      <c r="V658" t="str">
        <f>IF(OR(Table1[[#This Row],[Offer_Date]]="",Table1[[#This Row],[Interview_Date]]=""),"",Table1[[#This Row],[Offer_Date]]-Table1[[#This Row],[Interview_Date]])</f>
        <v/>
      </c>
    </row>
    <row r="659" spans="1:22" x14ac:dyDescent="0.3">
      <c r="A659" t="s">
        <v>714</v>
      </c>
      <c r="B659" t="s">
        <v>58</v>
      </c>
      <c r="C659" t="s">
        <v>50</v>
      </c>
      <c r="D659" t="s">
        <v>26</v>
      </c>
      <c r="E659">
        <v>33</v>
      </c>
      <c r="F659" t="s">
        <v>31</v>
      </c>
      <c r="G659" t="s">
        <v>44</v>
      </c>
      <c r="H659" t="s">
        <v>21</v>
      </c>
      <c r="I659" s="1">
        <v>44919</v>
      </c>
      <c r="J659" s="1">
        <v>44932</v>
      </c>
      <c r="K659" s="1">
        <v>44938</v>
      </c>
      <c r="L659">
        <v>4</v>
      </c>
      <c r="M659">
        <v>3</v>
      </c>
      <c r="N659" t="s">
        <v>28</v>
      </c>
      <c r="O659">
        <v>1158117</v>
      </c>
      <c r="U659">
        <f>Table1[[#This Row],[Interview_Date]]-Table1[[#This Row],[Application_Date]]</f>
        <v>13</v>
      </c>
      <c r="V659">
        <f>IF(OR(Table1[[#This Row],[Offer_Date]]="",Table1[[#This Row],[Interview_Date]]=""),"",Table1[[#This Row],[Offer_Date]]-Table1[[#This Row],[Interview_Date]])</f>
        <v>6</v>
      </c>
    </row>
    <row r="660" spans="1:22" x14ac:dyDescent="0.3">
      <c r="A660" t="s">
        <v>715</v>
      </c>
      <c r="B660" t="s">
        <v>38</v>
      </c>
      <c r="C660" t="s">
        <v>59</v>
      </c>
      <c r="D660" t="s">
        <v>26</v>
      </c>
      <c r="E660">
        <v>44</v>
      </c>
      <c r="F660" t="s">
        <v>31</v>
      </c>
      <c r="G660" t="s">
        <v>44</v>
      </c>
      <c r="H660" t="s">
        <v>51</v>
      </c>
      <c r="I660" s="1">
        <v>44895</v>
      </c>
      <c r="J660" s="1">
        <v>44905</v>
      </c>
      <c r="L660">
        <v>2</v>
      </c>
      <c r="M660">
        <v>8</v>
      </c>
      <c r="N660" t="s">
        <v>22</v>
      </c>
      <c r="O660">
        <v>1136383</v>
      </c>
      <c r="U660">
        <f>Table1[[#This Row],[Interview_Date]]-Table1[[#This Row],[Application_Date]]</f>
        <v>10</v>
      </c>
      <c r="V660" t="str">
        <f>IF(OR(Table1[[#This Row],[Offer_Date]]="",Table1[[#This Row],[Interview_Date]]=""),"",Table1[[#This Row],[Offer_Date]]-Table1[[#This Row],[Interview_Date]])</f>
        <v/>
      </c>
    </row>
    <row r="661" spans="1:22" x14ac:dyDescent="0.3">
      <c r="A661" t="s">
        <v>716</v>
      </c>
      <c r="B661" t="s">
        <v>33</v>
      </c>
      <c r="C661" t="s">
        <v>53</v>
      </c>
      <c r="D661" t="s">
        <v>26</v>
      </c>
      <c r="E661">
        <v>25</v>
      </c>
      <c r="F661" t="s">
        <v>19</v>
      </c>
      <c r="G661" t="s">
        <v>60</v>
      </c>
      <c r="H661" t="s">
        <v>40</v>
      </c>
      <c r="I661" s="1">
        <v>44328</v>
      </c>
      <c r="J661" s="1">
        <v>44337</v>
      </c>
      <c r="K661" s="1">
        <v>44340</v>
      </c>
      <c r="L661">
        <v>2</v>
      </c>
      <c r="M661">
        <v>2</v>
      </c>
      <c r="N661" t="s">
        <v>45</v>
      </c>
      <c r="O661">
        <v>535159</v>
      </c>
      <c r="U661">
        <f>Table1[[#This Row],[Interview_Date]]-Table1[[#This Row],[Application_Date]]</f>
        <v>9</v>
      </c>
      <c r="V661">
        <f>IF(OR(Table1[[#This Row],[Offer_Date]]="",Table1[[#This Row],[Interview_Date]]=""),"",Table1[[#This Row],[Offer_Date]]-Table1[[#This Row],[Interview_Date]])</f>
        <v>3</v>
      </c>
    </row>
    <row r="662" spans="1:22" x14ac:dyDescent="0.3">
      <c r="A662" t="s">
        <v>717</v>
      </c>
      <c r="B662" t="s">
        <v>65</v>
      </c>
      <c r="C662" t="s">
        <v>17</v>
      </c>
      <c r="D662" t="s">
        <v>26</v>
      </c>
      <c r="E662">
        <v>28</v>
      </c>
      <c r="F662" t="s">
        <v>19</v>
      </c>
      <c r="G662" t="s">
        <v>27</v>
      </c>
      <c r="H662" t="s">
        <v>54</v>
      </c>
      <c r="I662" s="1">
        <v>45096</v>
      </c>
      <c r="J662" s="1">
        <v>45109</v>
      </c>
      <c r="L662">
        <v>1</v>
      </c>
      <c r="M662">
        <v>6</v>
      </c>
      <c r="N662" t="s">
        <v>28</v>
      </c>
      <c r="O662">
        <v>521184</v>
      </c>
      <c r="U662">
        <f>Table1[[#This Row],[Interview_Date]]-Table1[[#This Row],[Application_Date]]</f>
        <v>13</v>
      </c>
      <c r="V662" t="str">
        <f>IF(OR(Table1[[#This Row],[Offer_Date]]="",Table1[[#This Row],[Interview_Date]]=""),"",Table1[[#This Row],[Offer_Date]]-Table1[[#This Row],[Interview_Date]])</f>
        <v/>
      </c>
    </row>
    <row r="663" spans="1:22" x14ac:dyDescent="0.3">
      <c r="A663" t="s">
        <v>718</v>
      </c>
      <c r="B663" t="s">
        <v>58</v>
      </c>
      <c r="C663" t="s">
        <v>17</v>
      </c>
      <c r="D663" t="s">
        <v>18</v>
      </c>
      <c r="E663">
        <v>37</v>
      </c>
      <c r="F663" t="s">
        <v>34</v>
      </c>
      <c r="G663" t="s">
        <v>44</v>
      </c>
      <c r="H663" t="s">
        <v>21</v>
      </c>
      <c r="I663" s="1">
        <v>44612</v>
      </c>
      <c r="J663" s="1">
        <v>44623</v>
      </c>
      <c r="K663" s="1">
        <v>44626</v>
      </c>
      <c r="L663">
        <v>5</v>
      </c>
      <c r="M663">
        <v>5</v>
      </c>
      <c r="N663" t="s">
        <v>28</v>
      </c>
      <c r="O663">
        <v>1035690</v>
      </c>
      <c r="U663">
        <f>Table1[[#This Row],[Interview_Date]]-Table1[[#This Row],[Application_Date]]</f>
        <v>11</v>
      </c>
      <c r="V663">
        <f>IF(OR(Table1[[#This Row],[Offer_Date]]="",Table1[[#This Row],[Interview_Date]]=""),"",Table1[[#This Row],[Offer_Date]]-Table1[[#This Row],[Interview_Date]])</f>
        <v>3</v>
      </c>
    </row>
    <row r="664" spans="1:22" x14ac:dyDescent="0.3">
      <c r="A664" t="s">
        <v>719</v>
      </c>
      <c r="B664" t="s">
        <v>63</v>
      </c>
      <c r="C664" t="s">
        <v>43</v>
      </c>
      <c r="D664" t="s">
        <v>26</v>
      </c>
      <c r="E664">
        <v>38</v>
      </c>
      <c r="F664" t="s">
        <v>39</v>
      </c>
      <c r="G664" t="s">
        <v>60</v>
      </c>
      <c r="H664" t="s">
        <v>36</v>
      </c>
      <c r="I664" s="1">
        <v>44723</v>
      </c>
      <c r="J664" s="1">
        <v>44731</v>
      </c>
      <c r="K664" s="1">
        <v>44735</v>
      </c>
      <c r="L664">
        <v>1</v>
      </c>
      <c r="M664">
        <v>9</v>
      </c>
      <c r="N664" t="s">
        <v>48</v>
      </c>
      <c r="O664">
        <v>875585</v>
      </c>
      <c r="U664">
        <f>Table1[[#This Row],[Interview_Date]]-Table1[[#This Row],[Application_Date]]</f>
        <v>8</v>
      </c>
      <c r="V664">
        <f>IF(OR(Table1[[#This Row],[Offer_Date]]="",Table1[[#This Row],[Interview_Date]]=""),"",Table1[[#This Row],[Offer_Date]]-Table1[[#This Row],[Interview_Date]])</f>
        <v>4</v>
      </c>
    </row>
    <row r="665" spans="1:22" x14ac:dyDescent="0.3">
      <c r="A665" t="s">
        <v>720</v>
      </c>
      <c r="B665" t="s">
        <v>65</v>
      </c>
      <c r="C665" t="s">
        <v>69</v>
      </c>
      <c r="D665" t="s">
        <v>18</v>
      </c>
      <c r="E665">
        <v>36</v>
      </c>
      <c r="F665" t="s">
        <v>34</v>
      </c>
      <c r="G665" t="s">
        <v>44</v>
      </c>
      <c r="H665" t="s">
        <v>36</v>
      </c>
      <c r="I665" s="1">
        <v>45390</v>
      </c>
      <c r="J665" s="1">
        <v>45404</v>
      </c>
      <c r="L665">
        <v>4</v>
      </c>
      <c r="M665">
        <v>4</v>
      </c>
      <c r="N665" t="s">
        <v>22</v>
      </c>
      <c r="O665">
        <v>883379</v>
      </c>
      <c r="U665">
        <f>Table1[[#This Row],[Interview_Date]]-Table1[[#This Row],[Application_Date]]</f>
        <v>14</v>
      </c>
      <c r="V665" t="str">
        <f>IF(OR(Table1[[#This Row],[Offer_Date]]="",Table1[[#This Row],[Interview_Date]]=""),"",Table1[[#This Row],[Offer_Date]]-Table1[[#This Row],[Interview_Date]])</f>
        <v/>
      </c>
    </row>
    <row r="666" spans="1:22" x14ac:dyDescent="0.3">
      <c r="A666" t="s">
        <v>721</v>
      </c>
      <c r="B666" t="s">
        <v>63</v>
      </c>
      <c r="C666" t="s">
        <v>17</v>
      </c>
      <c r="D666" t="s">
        <v>18</v>
      </c>
      <c r="E666">
        <v>44</v>
      </c>
      <c r="F666" t="s">
        <v>19</v>
      </c>
      <c r="G666" t="s">
        <v>60</v>
      </c>
      <c r="H666" t="s">
        <v>54</v>
      </c>
      <c r="I666" s="1">
        <v>44920</v>
      </c>
      <c r="J666" s="1">
        <v>44932</v>
      </c>
      <c r="L666">
        <v>4</v>
      </c>
      <c r="M666">
        <v>6</v>
      </c>
      <c r="N666" t="s">
        <v>22</v>
      </c>
      <c r="O666">
        <v>505025</v>
      </c>
      <c r="U666">
        <f>Table1[[#This Row],[Interview_Date]]-Table1[[#This Row],[Application_Date]]</f>
        <v>12</v>
      </c>
      <c r="V666" t="str">
        <f>IF(OR(Table1[[#This Row],[Offer_Date]]="",Table1[[#This Row],[Interview_Date]]=""),"",Table1[[#This Row],[Offer_Date]]-Table1[[#This Row],[Interview_Date]])</f>
        <v/>
      </c>
    </row>
    <row r="667" spans="1:22" x14ac:dyDescent="0.3">
      <c r="A667" t="s">
        <v>722</v>
      </c>
      <c r="B667" t="s">
        <v>58</v>
      </c>
      <c r="C667" t="s">
        <v>50</v>
      </c>
      <c r="D667" t="s">
        <v>26</v>
      </c>
      <c r="E667">
        <v>22</v>
      </c>
      <c r="F667" t="s">
        <v>39</v>
      </c>
      <c r="G667" t="s">
        <v>44</v>
      </c>
      <c r="H667" t="s">
        <v>51</v>
      </c>
      <c r="I667" s="1">
        <v>45323</v>
      </c>
      <c r="J667" s="1">
        <v>45334</v>
      </c>
      <c r="K667" s="1">
        <v>45337</v>
      </c>
      <c r="L667">
        <v>4</v>
      </c>
      <c r="M667">
        <v>9</v>
      </c>
      <c r="N667" t="s">
        <v>45</v>
      </c>
      <c r="O667">
        <v>436510</v>
      </c>
      <c r="U667">
        <f>Table1[[#This Row],[Interview_Date]]-Table1[[#This Row],[Application_Date]]</f>
        <v>11</v>
      </c>
      <c r="V667">
        <f>IF(OR(Table1[[#This Row],[Offer_Date]]="",Table1[[#This Row],[Interview_Date]]=""),"",Table1[[#This Row],[Offer_Date]]-Table1[[#This Row],[Interview_Date]])</f>
        <v>3</v>
      </c>
    </row>
    <row r="668" spans="1:22" x14ac:dyDescent="0.3">
      <c r="A668" t="s">
        <v>723</v>
      </c>
      <c r="B668" t="s">
        <v>72</v>
      </c>
      <c r="C668" t="s">
        <v>94</v>
      </c>
      <c r="D668" t="s">
        <v>26</v>
      </c>
      <c r="E668">
        <v>26</v>
      </c>
      <c r="F668" t="s">
        <v>34</v>
      </c>
      <c r="G668" t="s">
        <v>35</v>
      </c>
      <c r="H668" t="s">
        <v>51</v>
      </c>
      <c r="I668" s="1">
        <v>45220</v>
      </c>
      <c r="J668" s="1">
        <v>45223</v>
      </c>
      <c r="K668" s="1">
        <v>45230</v>
      </c>
      <c r="L668">
        <v>4</v>
      </c>
      <c r="M668">
        <v>5</v>
      </c>
      <c r="N668" t="s">
        <v>45</v>
      </c>
      <c r="O668">
        <v>364522</v>
      </c>
      <c r="U668">
        <f>Table1[[#This Row],[Interview_Date]]-Table1[[#This Row],[Application_Date]]</f>
        <v>3</v>
      </c>
      <c r="V668">
        <f>IF(OR(Table1[[#This Row],[Offer_Date]]="",Table1[[#This Row],[Interview_Date]]=""),"",Table1[[#This Row],[Offer_Date]]-Table1[[#This Row],[Interview_Date]])</f>
        <v>7</v>
      </c>
    </row>
    <row r="669" spans="1:22" x14ac:dyDescent="0.3">
      <c r="A669" t="s">
        <v>724</v>
      </c>
      <c r="B669" t="s">
        <v>42</v>
      </c>
      <c r="C669" t="s">
        <v>69</v>
      </c>
      <c r="D669" t="s">
        <v>26</v>
      </c>
      <c r="E669">
        <v>35</v>
      </c>
      <c r="F669" t="s">
        <v>74</v>
      </c>
      <c r="G669" t="s">
        <v>44</v>
      </c>
      <c r="H669" t="s">
        <v>51</v>
      </c>
      <c r="I669" s="1">
        <v>44358</v>
      </c>
      <c r="J669" s="1">
        <v>44363</v>
      </c>
      <c r="K669" s="1">
        <v>44369</v>
      </c>
      <c r="L669">
        <v>5</v>
      </c>
      <c r="M669">
        <v>3</v>
      </c>
      <c r="N669" t="s">
        <v>22</v>
      </c>
      <c r="O669">
        <v>489817</v>
      </c>
      <c r="U669">
        <f>Table1[[#This Row],[Interview_Date]]-Table1[[#This Row],[Application_Date]]</f>
        <v>5</v>
      </c>
      <c r="V669">
        <f>IF(OR(Table1[[#This Row],[Offer_Date]]="",Table1[[#This Row],[Interview_Date]]=""),"",Table1[[#This Row],[Offer_Date]]-Table1[[#This Row],[Interview_Date]])</f>
        <v>6</v>
      </c>
    </row>
    <row r="670" spans="1:22" x14ac:dyDescent="0.3">
      <c r="A670" t="s">
        <v>725</v>
      </c>
      <c r="B670" t="s">
        <v>72</v>
      </c>
      <c r="C670" t="s">
        <v>94</v>
      </c>
      <c r="D670" t="s">
        <v>18</v>
      </c>
      <c r="E670">
        <v>34</v>
      </c>
      <c r="F670" t="s">
        <v>74</v>
      </c>
      <c r="G670" t="s">
        <v>60</v>
      </c>
      <c r="H670" t="s">
        <v>51</v>
      </c>
      <c r="I670" s="1">
        <v>44665</v>
      </c>
      <c r="J670" s="1">
        <v>44668</v>
      </c>
      <c r="L670">
        <v>4</v>
      </c>
      <c r="M670">
        <v>3</v>
      </c>
      <c r="N670" t="s">
        <v>48</v>
      </c>
      <c r="O670">
        <v>963642</v>
      </c>
      <c r="U670">
        <f>Table1[[#This Row],[Interview_Date]]-Table1[[#This Row],[Application_Date]]</f>
        <v>3</v>
      </c>
      <c r="V670" t="str">
        <f>IF(OR(Table1[[#This Row],[Offer_Date]]="",Table1[[#This Row],[Interview_Date]]=""),"",Table1[[#This Row],[Offer_Date]]-Table1[[#This Row],[Interview_Date]])</f>
        <v/>
      </c>
    </row>
    <row r="671" spans="1:22" x14ac:dyDescent="0.3">
      <c r="A671" t="s">
        <v>726</v>
      </c>
      <c r="B671" t="s">
        <v>47</v>
      </c>
      <c r="C671" t="s">
        <v>50</v>
      </c>
      <c r="D671" t="s">
        <v>18</v>
      </c>
      <c r="E671">
        <v>28</v>
      </c>
      <c r="F671" t="s">
        <v>56</v>
      </c>
      <c r="G671" t="s">
        <v>35</v>
      </c>
      <c r="H671" t="s">
        <v>54</v>
      </c>
      <c r="I671" s="1">
        <v>44349</v>
      </c>
      <c r="J671" s="1">
        <v>44357</v>
      </c>
      <c r="L671">
        <v>2</v>
      </c>
      <c r="M671">
        <v>4</v>
      </c>
      <c r="N671" t="s">
        <v>48</v>
      </c>
      <c r="O671">
        <v>809123</v>
      </c>
      <c r="U671">
        <f>Table1[[#This Row],[Interview_Date]]-Table1[[#This Row],[Application_Date]]</f>
        <v>8</v>
      </c>
      <c r="V671" t="str">
        <f>IF(OR(Table1[[#This Row],[Offer_Date]]="",Table1[[#This Row],[Interview_Date]]=""),"",Table1[[#This Row],[Offer_Date]]-Table1[[#This Row],[Interview_Date]])</f>
        <v/>
      </c>
    </row>
    <row r="672" spans="1:22" x14ac:dyDescent="0.3">
      <c r="A672" t="s">
        <v>727</v>
      </c>
      <c r="B672" t="s">
        <v>33</v>
      </c>
      <c r="C672" t="s">
        <v>94</v>
      </c>
      <c r="D672" t="s">
        <v>18</v>
      </c>
      <c r="E672">
        <v>27</v>
      </c>
      <c r="F672" t="s">
        <v>31</v>
      </c>
      <c r="G672" t="s">
        <v>20</v>
      </c>
      <c r="H672" t="s">
        <v>54</v>
      </c>
      <c r="I672" s="1">
        <v>44729</v>
      </c>
      <c r="J672" s="1">
        <v>44739</v>
      </c>
      <c r="K672" s="1">
        <v>44746</v>
      </c>
      <c r="L672">
        <v>5</v>
      </c>
      <c r="M672">
        <v>10</v>
      </c>
      <c r="N672" t="s">
        <v>22</v>
      </c>
      <c r="O672">
        <v>610928</v>
      </c>
      <c r="U672">
        <f>Table1[[#This Row],[Interview_Date]]-Table1[[#This Row],[Application_Date]]</f>
        <v>10</v>
      </c>
      <c r="V672">
        <f>IF(OR(Table1[[#This Row],[Offer_Date]]="",Table1[[#This Row],[Interview_Date]]=""),"",Table1[[#This Row],[Offer_Date]]-Table1[[#This Row],[Interview_Date]])</f>
        <v>7</v>
      </c>
    </row>
    <row r="673" spans="1:22" x14ac:dyDescent="0.3">
      <c r="A673" t="s">
        <v>728</v>
      </c>
      <c r="B673" t="s">
        <v>47</v>
      </c>
      <c r="C673" t="s">
        <v>59</v>
      </c>
      <c r="D673" t="s">
        <v>18</v>
      </c>
      <c r="E673">
        <v>28</v>
      </c>
      <c r="F673" t="s">
        <v>34</v>
      </c>
      <c r="G673" t="s">
        <v>35</v>
      </c>
      <c r="H673" t="s">
        <v>36</v>
      </c>
      <c r="I673" s="1">
        <v>44374</v>
      </c>
      <c r="J673" s="1">
        <v>44389</v>
      </c>
      <c r="K673" s="1">
        <v>44393</v>
      </c>
      <c r="L673">
        <v>2</v>
      </c>
      <c r="M673">
        <v>4</v>
      </c>
      <c r="N673" t="s">
        <v>22</v>
      </c>
      <c r="O673">
        <v>943947</v>
      </c>
      <c r="U673">
        <f>Table1[[#This Row],[Interview_Date]]-Table1[[#This Row],[Application_Date]]</f>
        <v>15</v>
      </c>
      <c r="V673">
        <f>IF(OR(Table1[[#This Row],[Offer_Date]]="",Table1[[#This Row],[Interview_Date]]=""),"",Table1[[#This Row],[Offer_Date]]-Table1[[#This Row],[Interview_Date]])</f>
        <v>4</v>
      </c>
    </row>
    <row r="674" spans="1:22" x14ac:dyDescent="0.3">
      <c r="A674" t="s">
        <v>729</v>
      </c>
      <c r="B674" t="s">
        <v>24</v>
      </c>
      <c r="C674" t="s">
        <v>66</v>
      </c>
      <c r="D674" t="s">
        <v>18</v>
      </c>
      <c r="E674">
        <v>37</v>
      </c>
      <c r="F674" t="s">
        <v>56</v>
      </c>
      <c r="G674" t="s">
        <v>27</v>
      </c>
      <c r="H674" t="s">
        <v>51</v>
      </c>
      <c r="I674" s="1">
        <v>45092</v>
      </c>
      <c r="J674" s="1">
        <v>45104</v>
      </c>
      <c r="K674" s="1">
        <v>45107</v>
      </c>
      <c r="L674">
        <v>3</v>
      </c>
      <c r="M674">
        <v>7</v>
      </c>
      <c r="N674" t="s">
        <v>28</v>
      </c>
      <c r="O674">
        <v>447213</v>
      </c>
      <c r="U674">
        <f>Table1[[#This Row],[Interview_Date]]-Table1[[#This Row],[Application_Date]]</f>
        <v>12</v>
      </c>
      <c r="V674">
        <f>IF(OR(Table1[[#This Row],[Offer_Date]]="",Table1[[#This Row],[Interview_Date]]=""),"",Table1[[#This Row],[Offer_Date]]-Table1[[#This Row],[Interview_Date]])</f>
        <v>3</v>
      </c>
    </row>
    <row r="675" spans="1:22" x14ac:dyDescent="0.3">
      <c r="A675" t="s">
        <v>730</v>
      </c>
      <c r="B675" t="s">
        <v>33</v>
      </c>
      <c r="C675" t="s">
        <v>50</v>
      </c>
      <c r="D675" t="s">
        <v>18</v>
      </c>
      <c r="E675">
        <v>29</v>
      </c>
      <c r="F675" t="s">
        <v>34</v>
      </c>
      <c r="G675" t="s">
        <v>27</v>
      </c>
      <c r="H675" t="s">
        <v>40</v>
      </c>
      <c r="I675" s="1">
        <v>44217</v>
      </c>
      <c r="J675" s="1">
        <v>44226</v>
      </c>
      <c r="K675" s="1">
        <v>44228</v>
      </c>
      <c r="L675">
        <v>2</v>
      </c>
      <c r="M675">
        <v>7</v>
      </c>
      <c r="N675" t="s">
        <v>45</v>
      </c>
      <c r="O675">
        <v>637528</v>
      </c>
      <c r="U675">
        <f>Table1[[#This Row],[Interview_Date]]-Table1[[#This Row],[Application_Date]]</f>
        <v>9</v>
      </c>
      <c r="V675">
        <f>IF(OR(Table1[[#This Row],[Offer_Date]]="",Table1[[#This Row],[Interview_Date]]=""),"",Table1[[#This Row],[Offer_Date]]-Table1[[#This Row],[Interview_Date]])</f>
        <v>2</v>
      </c>
    </row>
    <row r="676" spans="1:22" x14ac:dyDescent="0.3">
      <c r="A676" t="s">
        <v>731</v>
      </c>
      <c r="B676" t="s">
        <v>16</v>
      </c>
      <c r="C676" t="s">
        <v>25</v>
      </c>
      <c r="D676" t="s">
        <v>18</v>
      </c>
      <c r="E676">
        <v>38</v>
      </c>
      <c r="F676" t="s">
        <v>39</v>
      </c>
      <c r="G676" t="s">
        <v>35</v>
      </c>
      <c r="H676" t="s">
        <v>54</v>
      </c>
      <c r="I676" s="1">
        <v>44644</v>
      </c>
      <c r="J676" s="1">
        <v>44653</v>
      </c>
      <c r="K676" s="1">
        <v>44659</v>
      </c>
      <c r="L676">
        <v>4</v>
      </c>
      <c r="M676">
        <v>5</v>
      </c>
      <c r="N676" t="s">
        <v>28</v>
      </c>
      <c r="O676">
        <v>730324</v>
      </c>
      <c r="U676">
        <f>Table1[[#This Row],[Interview_Date]]-Table1[[#This Row],[Application_Date]]</f>
        <v>9</v>
      </c>
      <c r="V676">
        <f>IF(OR(Table1[[#This Row],[Offer_Date]]="",Table1[[#This Row],[Interview_Date]]=""),"",Table1[[#This Row],[Offer_Date]]-Table1[[#This Row],[Interview_Date]])</f>
        <v>6</v>
      </c>
    </row>
    <row r="677" spans="1:22" x14ac:dyDescent="0.3">
      <c r="A677" t="s">
        <v>732</v>
      </c>
      <c r="B677" t="s">
        <v>16</v>
      </c>
      <c r="C677" t="s">
        <v>50</v>
      </c>
      <c r="D677" t="s">
        <v>26</v>
      </c>
      <c r="E677">
        <v>26</v>
      </c>
      <c r="F677" t="s">
        <v>19</v>
      </c>
      <c r="G677" t="s">
        <v>60</v>
      </c>
      <c r="H677" t="s">
        <v>51</v>
      </c>
      <c r="I677" s="1">
        <v>44692</v>
      </c>
      <c r="J677" s="1">
        <v>44697</v>
      </c>
      <c r="L677">
        <v>3</v>
      </c>
      <c r="M677">
        <v>5</v>
      </c>
      <c r="N677" t="s">
        <v>28</v>
      </c>
      <c r="O677">
        <v>1074112</v>
      </c>
      <c r="U677">
        <f>Table1[[#This Row],[Interview_Date]]-Table1[[#This Row],[Application_Date]]</f>
        <v>5</v>
      </c>
      <c r="V677" t="str">
        <f>IF(OR(Table1[[#This Row],[Offer_Date]]="",Table1[[#This Row],[Interview_Date]]=""),"",Table1[[#This Row],[Offer_Date]]-Table1[[#This Row],[Interview_Date]])</f>
        <v/>
      </c>
    </row>
    <row r="678" spans="1:22" x14ac:dyDescent="0.3">
      <c r="A678" t="s">
        <v>733</v>
      </c>
      <c r="B678" t="s">
        <v>42</v>
      </c>
      <c r="C678" t="s">
        <v>59</v>
      </c>
      <c r="D678" t="s">
        <v>26</v>
      </c>
      <c r="E678">
        <v>25</v>
      </c>
      <c r="F678" t="s">
        <v>34</v>
      </c>
      <c r="G678" t="s">
        <v>20</v>
      </c>
      <c r="H678" t="s">
        <v>40</v>
      </c>
      <c r="I678" s="1">
        <v>44242</v>
      </c>
      <c r="J678" s="1">
        <v>44247</v>
      </c>
      <c r="K678" s="1">
        <v>44254</v>
      </c>
      <c r="L678">
        <v>1</v>
      </c>
      <c r="M678">
        <v>5</v>
      </c>
      <c r="N678" t="s">
        <v>22</v>
      </c>
      <c r="O678">
        <v>829332</v>
      </c>
      <c r="U678">
        <f>Table1[[#This Row],[Interview_Date]]-Table1[[#This Row],[Application_Date]]</f>
        <v>5</v>
      </c>
      <c r="V678">
        <f>IF(OR(Table1[[#This Row],[Offer_Date]]="",Table1[[#This Row],[Interview_Date]]=""),"",Table1[[#This Row],[Offer_Date]]-Table1[[#This Row],[Interview_Date]])</f>
        <v>7</v>
      </c>
    </row>
    <row r="679" spans="1:22" x14ac:dyDescent="0.3">
      <c r="A679" t="s">
        <v>734</v>
      </c>
      <c r="B679" t="s">
        <v>24</v>
      </c>
      <c r="C679" t="s">
        <v>94</v>
      </c>
      <c r="D679" t="s">
        <v>18</v>
      </c>
      <c r="E679">
        <v>24</v>
      </c>
      <c r="F679" t="s">
        <v>39</v>
      </c>
      <c r="G679" t="s">
        <v>44</v>
      </c>
      <c r="H679" t="s">
        <v>36</v>
      </c>
      <c r="I679" s="1">
        <v>45050</v>
      </c>
      <c r="J679" s="1">
        <v>45065</v>
      </c>
      <c r="L679">
        <v>2</v>
      </c>
      <c r="M679">
        <v>9</v>
      </c>
      <c r="N679" t="s">
        <v>48</v>
      </c>
      <c r="O679">
        <v>964309</v>
      </c>
      <c r="U679">
        <f>Table1[[#This Row],[Interview_Date]]-Table1[[#This Row],[Application_Date]]</f>
        <v>15</v>
      </c>
      <c r="V679" t="str">
        <f>IF(OR(Table1[[#This Row],[Offer_Date]]="",Table1[[#This Row],[Interview_Date]]=""),"",Table1[[#This Row],[Offer_Date]]-Table1[[#This Row],[Interview_Date]])</f>
        <v/>
      </c>
    </row>
    <row r="680" spans="1:22" x14ac:dyDescent="0.3">
      <c r="A680" t="s">
        <v>735</v>
      </c>
      <c r="B680" t="s">
        <v>63</v>
      </c>
      <c r="C680" t="s">
        <v>30</v>
      </c>
      <c r="D680" t="s">
        <v>18</v>
      </c>
      <c r="E680">
        <v>39</v>
      </c>
      <c r="F680" t="s">
        <v>34</v>
      </c>
      <c r="G680" t="s">
        <v>35</v>
      </c>
      <c r="H680" t="s">
        <v>40</v>
      </c>
      <c r="I680" s="1">
        <v>44318</v>
      </c>
      <c r="J680" s="1">
        <v>44325</v>
      </c>
      <c r="L680">
        <v>3</v>
      </c>
      <c r="M680">
        <v>8</v>
      </c>
      <c r="N680" t="s">
        <v>48</v>
      </c>
      <c r="O680">
        <v>617431</v>
      </c>
      <c r="U680">
        <f>Table1[[#This Row],[Interview_Date]]-Table1[[#This Row],[Application_Date]]</f>
        <v>7</v>
      </c>
      <c r="V680" t="str">
        <f>IF(OR(Table1[[#This Row],[Offer_Date]]="",Table1[[#This Row],[Interview_Date]]=""),"",Table1[[#This Row],[Offer_Date]]-Table1[[#This Row],[Interview_Date]])</f>
        <v/>
      </c>
    </row>
    <row r="681" spans="1:22" x14ac:dyDescent="0.3">
      <c r="A681" t="s">
        <v>736</v>
      </c>
      <c r="B681" t="s">
        <v>24</v>
      </c>
      <c r="C681" t="s">
        <v>30</v>
      </c>
      <c r="D681" t="s">
        <v>18</v>
      </c>
      <c r="E681">
        <v>23</v>
      </c>
      <c r="F681" t="s">
        <v>39</v>
      </c>
      <c r="G681" t="s">
        <v>27</v>
      </c>
      <c r="H681" t="s">
        <v>51</v>
      </c>
      <c r="I681" s="1">
        <v>44996</v>
      </c>
      <c r="J681" s="1">
        <v>45003</v>
      </c>
      <c r="K681" s="1">
        <v>45010</v>
      </c>
      <c r="L681">
        <v>5</v>
      </c>
      <c r="M681">
        <v>8</v>
      </c>
      <c r="N681" t="s">
        <v>45</v>
      </c>
      <c r="O681">
        <v>485159</v>
      </c>
      <c r="U681">
        <f>Table1[[#This Row],[Interview_Date]]-Table1[[#This Row],[Application_Date]]</f>
        <v>7</v>
      </c>
      <c r="V681">
        <f>IF(OR(Table1[[#This Row],[Offer_Date]]="",Table1[[#This Row],[Interview_Date]]=""),"",Table1[[#This Row],[Offer_Date]]-Table1[[#This Row],[Interview_Date]])</f>
        <v>7</v>
      </c>
    </row>
    <row r="682" spans="1:22" x14ac:dyDescent="0.3">
      <c r="A682" t="s">
        <v>737</v>
      </c>
      <c r="B682" t="s">
        <v>16</v>
      </c>
      <c r="C682" t="s">
        <v>17</v>
      </c>
      <c r="D682" t="s">
        <v>18</v>
      </c>
      <c r="E682">
        <v>25</v>
      </c>
      <c r="F682" t="s">
        <v>31</v>
      </c>
      <c r="G682" t="s">
        <v>20</v>
      </c>
      <c r="H682" t="s">
        <v>40</v>
      </c>
      <c r="I682" s="1">
        <v>45114</v>
      </c>
      <c r="J682" s="1">
        <v>45120</v>
      </c>
      <c r="K682" s="1">
        <v>45126</v>
      </c>
      <c r="L682">
        <v>5</v>
      </c>
      <c r="M682">
        <v>5</v>
      </c>
      <c r="N682" t="s">
        <v>28</v>
      </c>
      <c r="O682">
        <v>1040372</v>
      </c>
      <c r="U682">
        <f>Table1[[#This Row],[Interview_Date]]-Table1[[#This Row],[Application_Date]]</f>
        <v>6</v>
      </c>
      <c r="V682">
        <f>IF(OR(Table1[[#This Row],[Offer_Date]]="",Table1[[#This Row],[Interview_Date]]=""),"",Table1[[#This Row],[Offer_Date]]-Table1[[#This Row],[Interview_Date]])</f>
        <v>6</v>
      </c>
    </row>
    <row r="683" spans="1:22" x14ac:dyDescent="0.3">
      <c r="A683" t="s">
        <v>738</v>
      </c>
      <c r="B683" t="s">
        <v>42</v>
      </c>
      <c r="C683" t="s">
        <v>66</v>
      </c>
      <c r="D683" t="s">
        <v>18</v>
      </c>
      <c r="E683">
        <v>43</v>
      </c>
      <c r="F683" t="s">
        <v>19</v>
      </c>
      <c r="G683" t="s">
        <v>60</v>
      </c>
      <c r="H683" t="s">
        <v>54</v>
      </c>
      <c r="I683" s="1">
        <v>45196</v>
      </c>
      <c r="J683" s="1">
        <v>45207</v>
      </c>
      <c r="L683">
        <v>2</v>
      </c>
      <c r="M683">
        <v>7</v>
      </c>
      <c r="N683" t="s">
        <v>28</v>
      </c>
      <c r="O683">
        <v>333420</v>
      </c>
      <c r="U683">
        <f>Table1[[#This Row],[Interview_Date]]-Table1[[#This Row],[Application_Date]]</f>
        <v>11</v>
      </c>
      <c r="V683" t="str">
        <f>IF(OR(Table1[[#This Row],[Offer_Date]]="",Table1[[#This Row],[Interview_Date]]=""),"",Table1[[#This Row],[Offer_Date]]-Table1[[#This Row],[Interview_Date]])</f>
        <v/>
      </c>
    </row>
    <row r="684" spans="1:22" x14ac:dyDescent="0.3">
      <c r="A684" t="s">
        <v>739</v>
      </c>
      <c r="B684" t="s">
        <v>65</v>
      </c>
      <c r="C684" t="s">
        <v>59</v>
      </c>
      <c r="D684" t="s">
        <v>18</v>
      </c>
      <c r="E684">
        <v>21</v>
      </c>
      <c r="F684" t="s">
        <v>19</v>
      </c>
      <c r="G684" t="s">
        <v>27</v>
      </c>
      <c r="H684" t="s">
        <v>36</v>
      </c>
      <c r="I684" s="1">
        <v>45148</v>
      </c>
      <c r="J684" s="1">
        <v>45158</v>
      </c>
      <c r="L684">
        <v>2</v>
      </c>
      <c r="M684">
        <v>8</v>
      </c>
      <c r="N684" t="s">
        <v>45</v>
      </c>
      <c r="O684">
        <v>919968</v>
      </c>
      <c r="U684">
        <f>Table1[[#This Row],[Interview_Date]]-Table1[[#This Row],[Application_Date]]</f>
        <v>10</v>
      </c>
      <c r="V684" t="str">
        <f>IF(OR(Table1[[#This Row],[Offer_Date]]="",Table1[[#This Row],[Interview_Date]]=""),"",Table1[[#This Row],[Offer_Date]]-Table1[[#This Row],[Interview_Date]])</f>
        <v/>
      </c>
    </row>
    <row r="685" spans="1:22" x14ac:dyDescent="0.3">
      <c r="A685" t="s">
        <v>740</v>
      </c>
      <c r="B685" t="s">
        <v>65</v>
      </c>
      <c r="C685" t="s">
        <v>59</v>
      </c>
      <c r="D685" t="s">
        <v>18</v>
      </c>
      <c r="E685">
        <v>33</v>
      </c>
      <c r="F685" t="s">
        <v>31</v>
      </c>
      <c r="G685" t="s">
        <v>27</v>
      </c>
      <c r="H685" t="s">
        <v>54</v>
      </c>
      <c r="I685" s="1">
        <v>44393</v>
      </c>
      <c r="J685" s="1">
        <v>44400</v>
      </c>
      <c r="L685">
        <v>3</v>
      </c>
      <c r="M685">
        <v>6</v>
      </c>
      <c r="N685" t="s">
        <v>28</v>
      </c>
      <c r="O685">
        <v>440956</v>
      </c>
      <c r="U685">
        <f>Table1[[#This Row],[Interview_Date]]-Table1[[#This Row],[Application_Date]]</f>
        <v>7</v>
      </c>
      <c r="V685" t="str">
        <f>IF(OR(Table1[[#This Row],[Offer_Date]]="",Table1[[#This Row],[Interview_Date]]=""),"",Table1[[#This Row],[Offer_Date]]-Table1[[#This Row],[Interview_Date]])</f>
        <v/>
      </c>
    </row>
    <row r="686" spans="1:22" x14ac:dyDescent="0.3">
      <c r="A686" t="s">
        <v>741</v>
      </c>
      <c r="B686" t="s">
        <v>33</v>
      </c>
      <c r="C686" t="s">
        <v>53</v>
      </c>
      <c r="D686" t="s">
        <v>18</v>
      </c>
      <c r="E686">
        <v>24</v>
      </c>
      <c r="F686" t="s">
        <v>19</v>
      </c>
      <c r="G686" t="s">
        <v>35</v>
      </c>
      <c r="H686" t="s">
        <v>36</v>
      </c>
      <c r="I686" s="1">
        <v>44849</v>
      </c>
      <c r="J686" s="1">
        <v>44855</v>
      </c>
      <c r="L686">
        <v>4</v>
      </c>
      <c r="M686">
        <v>7</v>
      </c>
      <c r="N686" t="s">
        <v>28</v>
      </c>
      <c r="O686">
        <v>315212</v>
      </c>
      <c r="U686">
        <f>Table1[[#This Row],[Interview_Date]]-Table1[[#This Row],[Application_Date]]</f>
        <v>6</v>
      </c>
      <c r="V686" t="str">
        <f>IF(OR(Table1[[#This Row],[Offer_Date]]="",Table1[[#This Row],[Interview_Date]]=""),"",Table1[[#This Row],[Offer_Date]]-Table1[[#This Row],[Interview_Date]])</f>
        <v/>
      </c>
    </row>
    <row r="687" spans="1:22" x14ac:dyDescent="0.3">
      <c r="A687" t="s">
        <v>742</v>
      </c>
      <c r="B687" t="s">
        <v>65</v>
      </c>
      <c r="C687" t="s">
        <v>17</v>
      </c>
      <c r="D687" t="s">
        <v>18</v>
      </c>
      <c r="E687">
        <v>33</v>
      </c>
      <c r="F687" t="s">
        <v>19</v>
      </c>
      <c r="G687" t="s">
        <v>27</v>
      </c>
      <c r="H687" t="s">
        <v>51</v>
      </c>
      <c r="I687" s="1">
        <v>44636</v>
      </c>
      <c r="J687" s="1">
        <v>44647</v>
      </c>
      <c r="K687" s="1">
        <v>44653</v>
      </c>
      <c r="L687">
        <v>1</v>
      </c>
      <c r="M687">
        <v>2</v>
      </c>
      <c r="N687" t="s">
        <v>45</v>
      </c>
      <c r="O687">
        <v>1061094</v>
      </c>
      <c r="U687">
        <f>Table1[[#This Row],[Interview_Date]]-Table1[[#This Row],[Application_Date]]</f>
        <v>11</v>
      </c>
      <c r="V687">
        <f>IF(OR(Table1[[#This Row],[Offer_Date]]="",Table1[[#This Row],[Interview_Date]]=""),"",Table1[[#This Row],[Offer_Date]]-Table1[[#This Row],[Interview_Date]])</f>
        <v>6</v>
      </c>
    </row>
    <row r="688" spans="1:22" x14ac:dyDescent="0.3">
      <c r="A688" t="s">
        <v>743</v>
      </c>
      <c r="B688" t="s">
        <v>47</v>
      </c>
      <c r="C688" t="s">
        <v>66</v>
      </c>
      <c r="D688" t="s">
        <v>26</v>
      </c>
      <c r="E688">
        <v>35</v>
      </c>
      <c r="F688" t="s">
        <v>74</v>
      </c>
      <c r="G688" t="s">
        <v>60</v>
      </c>
      <c r="H688" t="s">
        <v>54</v>
      </c>
      <c r="I688" s="1">
        <v>44285</v>
      </c>
      <c r="J688" s="1">
        <v>44294</v>
      </c>
      <c r="L688">
        <v>5</v>
      </c>
      <c r="M688">
        <v>9</v>
      </c>
      <c r="N688" t="s">
        <v>28</v>
      </c>
      <c r="O688">
        <v>322630</v>
      </c>
      <c r="U688">
        <f>Table1[[#This Row],[Interview_Date]]-Table1[[#This Row],[Application_Date]]</f>
        <v>9</v>
      </c>
      <c r="V688" t="str">
        <f>IF(OR(Table1[[#This Row],[Offer_Date]]="",Table1[[#This Row],[Interview_Date]]=""),"",Table1[[#This Row],[Offer_Date]]-Table1[[#This Row],[Interview_Date]])</f>
        <v/>
      </c>
    </row>
    <row r="689" spans="1:22" x14ac:dyDescent="0.3">
      <c r="A689" t="s">
        <v>744</v>
      </c>
      <c r="B689" t="s">
        <v>33</v>
      </c>
      <c r="C689" t="s">
        <v>59</v>
      </c>
      <c r="D689" t="s">
        <v>18</v>
      </c>
      <c r="E689">
        <v>31</v>
      </c>
      <c r="F689" t="s">
        <v>34</v>
      </c>
      <c r="G689" t="s">
        <v>20</v>
      </c>
      <c r="H689" t="s">
        <v>21</v>
      </c>
      <c r="I689" s="1">
        <v>44444</v>
      </c>
      <c r="J689" s="1">
        <v>44454</v>
      </c>
      <c r="L689">
        <v>4</v>
      </c>
      <c r="M689">
        <v>2</v>
      </c>
      <c r="N689" t="s">
        <v>45</v>
      </c>
      <c r="O689">
        <v>466180</v>
      </c>
      <c r="U689">
        <f>Table1[[#This Row],[Interview_Date]]-Table1[[#This Row],[Application_Date]]</f>
        <v>10</v>
      </c>
      <c r="V689" t="str">
        <f>IF(OR(Table1[[#This Row],[Offer_Date]]="",Table1[[#This Row],[Interview_Date]]=""),"",Table1[[#This Row],[Offer_Date]]-Table1[[#This Row],[Interview_Date]])</f>
        <v/>
      </c>
    </row>
    <row r="690" spans="1:22" x14ac:dyDescent="0.3">
      <c r="A690" t="s">
        <v>745</v>
      </c>
      <c r="B690" t="s">
        <v>63</v>
      </c>
      <c r="C690" t="s">
        <v>30</v>
      </c>
      <c r="D690" t="s">
        <v>26</v>
      </c>
      <c r="E690">
        <v>44</v>
      </c>
      <c r="F690" t="s">
        <v>31</v>
      </c>
      <c r="G690" t="s">
        <v>60</v>
      </c>
      <c r="H690" t="s">
        <v>51</v>
      </c>
      <c r="I690" s="1">
        <v>44636</v>
      </c>
      <c r="J690" s="1">
        <v>44644</v>
      </c>
      <c r="L690">
        <v>5</v>
      </c>
      <c r="M690">
        <v>8</v>
      </c>
      <c r="N690" t="s">
        <v>45</v>
      </c>
      <c r="O690">
        <v>343721</v>
      </c>
      <c r="U690">
        <f>Table1[[#This Row],[Interview_Date]]-Table1[[#This Row],[Application_Date]]</f>
        <v>8</v>
      </c>
      <c r="V690" t="str">
        <f>IF(OR(Table1[[#This Row],[Offer_Date]]="",Table1[[#This Row],[Interview_Date]]=""),"",Table1[[#This Row],[Offer_Date]]-Table1[[#This Row],[Interview_Date]])</f>
        <v/>
      </c>
    </row>
    <row r="691" spans="1:22" x14ac:dyDescent="0.3">
      <c r="A691" t="s">
        <v>746</v>
      </c>
      <c r="B691" t="s">
        <v>65</v>
      </c>
      <c r="C691" t="s">
        <v>53</v>
      </c>
      <c r="D691" t="s">
        <v>18</v>
      </c>
      <c r="E691">
        <v>24</v>
      </c>
      <c r="F691" t="s">
        <v>31</v>
      </c>
      <c r="G691" t="s">
        <v>20</v>
      </c>
      <c r="H691" t="s">
        <v>36</v>
      </c>
      <c r="I691" s="1">
        <v>44708</v>
      </c>
      <c r="J691" s="1">
        <v>44721</v>
      </c>
      <c r="K691" s="1">
        <v>44726</v>
      </c>
      <c r="L691">
        <v>2</v>
      </c>
      <c r="M691">
        <v>10</v>
      </c>
      <c r="N691" t="s">
        <v>28</v>
      </c>
      <c r="O691">
        <v>1080879</v>
      </c>
      <c r="U691">
        <f>Table1[[#This Row],[Interview_Date]]-Table1[[#This Row],[Application_Date]]</f>
        <v>13</v>
      </c>
      <c r="V691">
        <f>IF(OR(Table1[[#This Row],[Offer_Date]]="",Table1[[#This Row],[Interview_Date]]=""),"",Table1[[#This Row],[Offer_Date]]-Table1[[#This Row],[Interview_Date]])</f>
        <v>5</v>
      </c>
    </row>
    <row r="692" spans="1:22" x14ac:dyDescent="0.3">
      <c r="A692" t="s">
        <v>747</v>
      </c>
      <c r="B692" t="s">
        <v>63</v>
      </c>
      <c r="C692" t="s">
        <v>94</v>
      </c>
      <c r="D692" t="s">
        <v>18</v>
      </c>
      <c r="E692">
        <v>36</v>
      </c>
      <c r="F692" t="s">
        <v>19</v>
      </c>
      <c r="G692" t="s">
        <v>35</v>
      </c>
      <c r="H692" t="s">
        <v>54</v>
      </c>
      <c r="I692" s="1">
        <v>45186</v>
      </c>
      <c r="J692" s="1">
        <v>45190</v>
      </c>
      <c r="L692">
        <v>3</v>
      </c>
      <c r="M692">
        <v>4</v>
      </c>
      <c r="N692" t="s">
        <v>45</v>
      </c>
      <c r="O692">
        <v>1129156</v>
      </c>
      <c r="U692">
        <f>Table1[[#This Row],[Interview_Date]]-Table1[[#This Row],[Application_Date]]</f>
        <v>4</v>
      </c>
      <c r="V692" t="str">
        <f>IF(OR(Table1[[#This Row],[Offer_Date]]="",Table1[[#This Row],[Interview_Date]]=""),"",Table1[[#This Row],[Offer_Date]]-Table1[[#This Row],[Interview_Date]])</f>
        <v/>
      </c>
    </row>
    <row r="693" spans="1:22" x14ac:dyDescent="0.3">
      <c r="A693" t="s">
        <v>748</v>
      </c>
      <c r="B693" t="s">
        <v>72</v>
      </c>
      <c r="C693" t="s">
        <v>53</v>
      </c>
      <c r="D693" t="s">
        <v>26</v>
      </c>
      <c r="E693">
        <v>36</v>
      </c>
      <c r="F693" t="s">
        <v>19</v>
      </c>
      <c r="G693" t="s">
        <v>60</v>
      </c>
      <c r="H693" t="s">
        <v>36</v>
      </c>
      <c r="I693" s="1">
        <v>44482</v>
      </c>
      <c r="J693" s="1">
        <v>44485</v>
      </c>
      <c r="K693" s="1">
        <v>44491</v>
      </c>
      <c r="L693">
        <v>5</v>
      </c>
      <c r="M693">
        <v>2</v>
      </c>
      <c r="N693" t="s">
        <v>45</v>
      </c>
      <c r="O693">
        <v>855454</v>
      </c>
      <c r="U693">
        <f>Table1[[#This Row],[Interview_Date]]-Table1[[#This Row],[Application_Date]]</f>
        <v>3</v>
      </c>
      <c r="V693">
        <f>IF(OR(Table1[[#This Row],[Offer_Date]]="",Table1[[#This Row],[Interview_Date]]=""),"",Table1[[#This Row],[Offer_Date]]-Table1[[#This Row],[Interview_Date]])</f>
        <v>6</v>
      </c>
    </row>
    <row r="694" spans="1:22" x14ac:dyDescent="0.3">
      <c r="A694" t="s">
        <v>749</v>
      </c>
      <c r="B694" t="s">
        <v>24</v>
      </c>
      <c r="C694" t="s">
        <v>69</v>
      </c>
      <c r="D694" t="s">
        <v>18</v>
      </c>
      <c r="E694">
        <v>45</v>
      </c>
      <c r="F694" t="s">
        <v>74</v>
      </c>
      <c r="G694" t="s">
        <v>44</v>
      </c>
      <c r="H694" t="s">
        <v>21</v>
      </c>
      <c r="I694" s="1">
        <v>44991</v>
      </c>
      <c r="J694" s="1">
        <v>44995</v>
      </c>
      <c r="L694">
        <v>5</v>
      </c>
      <c r="M694">
        <v>2</v>
      </c>
      <c r="N694" t="s">
        <v>28</v>
      </c>
      <c r="O694">
        <v>1017804</v>
      </c>
      <c r="U694">
        <f>Table1[[#This Row],[Interview_Date]]-Table1[[#This Row],[Application_Date]]</f>
        <v>4</v>
      </c>
      <c r="V694" t="str">
        <f>IF(OR(Table1[[#This Row],[Offer_Date]]="",Table1[[#This Row],[Interview_Date]]=""),"",Table1[[#This Row],[Offer_Date]]-Table1[[#This Row],[Interview_Date]])</f>
        <v/>
      </c>
    </row>
    <row r="695" spans="1:22" x14ac:dyDescent="0.3">
      <c r="A695" t="s">
        <v>750</v>
      </c>
      <c r="B695" t="s">
        <v>38</v>
      </c>
      <c r="C695" t="s">
        <v>17</v>
      </c>
      <c r="D695" t="s">
        <v>26</v>
      </c>
      <c r="E695">
        <v>45</v>
      </c>
      <c r="F695" t="s">
        <v>31</v>
      </c>
      <c r="G695" t="s">
        <v>20</v>
      </c>
      <c r="H695" t="s">
        <v>21</v>
      </c>
      <c r="I695" s="1">
        <v>45107</v>
      </c>
      <c r="J695" s="1">
        <v>45115</v>
      </c>
      <c r="K695" s="1">
        <v>45122</v>
      </c>
      <c r="L695">
        <v>5</v>
      </c>
      <c r="M695">
        <v>3</v>
      </c>
      <c r="N695" t="s">
        <v>22</v>
      </c>
      <c r="O695">
        <v>567082</v>
      </c>
      <c r="U695">
        <f>Table1[[#This Row],[Interview_Date]]-Table1[[#This Row],[Application_Date]]</f>
        <v>8</v>
      </c>
      <c r="V695">
        <f>IF(OR(Table1[[#This Row],[Offer_Date]]="",Table1[[#This Row],[Interview_Date]]=""),"",Table1[[#This Row],[Offer_Date]]-Table1[[#This Row],[Interview_Date]])</f>
        <v>7</v>
      </c>
    </row>
    <row r="696" spans="1:22" x14ac:dyDescent="0.3">
      <c r="A696" t="s">
        <v>751</v>
      </c>
      <c r="B696" t="s">
        <v>47</v>
      </c>
      <c r="C696" t="s">
        <v>66</v>
      </c>
      <c r="D696" t="s">
        <v>18</v>
      </c>
      <c r="E696">
        <v>30</v>
      </c>
      <c r="F696" t="s">
        <v>19</v>
      </c>
      <c r="G696" t="s">
        <v>27</v>
      </c>
      <c r="H696" t="s">
        <v>21</v>
      </c>
      <c r="I696" s="1">
        <v>44965</v>
      </c>
      <c r="J696" s="1">
        <v>44970</v>
      </c>
      <c r="L696">
        <v>2</v>
      </c>
      <c r="M696">
        <v>2</v>
      </c>
      <c r="N696" t="s">
        <v>45</v>
      </c>
      <c r="O696">
        <v>670768</v>
      </c>
      <c r="U696">
        <f>Table1[[#This Row],[Interview_Date]]-Table1[[#This Row],[Application_Date]]</f>
        <v>5</v>
      </c>
      <c r="V696" t="str">
        <f>IF(OR(Table1[[#This Row],[Offer_Date]]="",Table1[[#This Row],[Interview_Date]]=""),"",Table1[[#This Row],[Offer_Date]]-Table1[[#This Row],[Interview_Date]])</f>
        <v/>
      </c>
    </row>
    <row r="697" spans="1:22" x14ac:dyDescent="0.3">
      <c r="A697" t="s">
        <v>752</v>
      </c>
      <c r="B697" t="s">
        <v>38</v>
      </c>
      <c r="C697" t="s">
        <v>66</v>
      </c>
      <c r="D697" t="s">
        <v>26</v>
      </c>
      <c r="E697">
        <v>30</v>
      </c>
      <c r="F697" t="s">
        <v>31</v>
      </c>
      <c r="G697" t="s">
        <v>20</v>
      </c>
      <c r="H697" t="s">
        <v>51</v>
      </c>
      <c r="I697" s="1">
        <v>44396</v>
      </c>
      <c r="J697" s="1">
        <v>44405</v>
      </c>
      <c r="L697">
        <v>3</v>
      </c>
      <c r="M697">
        <v>3</v>
      </c>
      <c r="N697" t="s">
        <v>28</v>
      </c>
      <c r="O697">
        <v>712842</v>
      </c>
      <c r="U697">
        <f>Table1[[#This Row],[Interview_Date]]-Table1[[#This Row],[Application_Date]]</f>
        <v>9</v>
      </c>
      <c r="V697" t="str">
        <f>IF(OR(Table1[[#This Row],[Offer_Date]]="",Table1[[#This Row],[Interview_Date]]=""),"",Table1[[#This Row],[Offer_Date]]-Table1[[#This Row],[Interview_Date]])</f>
        <v/>
      </c>
    </row>
    <row r="698" spans="1:22" x14ac:dyDescent="0.3">
      <c r="A698" t="s">
        <v>753</v>
      </c>
      <c r="B698" t="s">
        <v>38</v>
      </c>
      <c r="C698" t="s">
        <v>17</v>
      </c>
      <c r="D698" t="s">
        <v>26</v>
      </c>
      <c r="E698">
        <v>21</v>
      </c>
      <c r="F698" t="s">
        <v>34</v>
      </c>
      <c r="G698" t="s">
        <v>60</v>
      </c>
      <c r="H698" t="s">
        <v>40</v>
      </c>
      <c r="I698" s="1">
        <v>44340</v>
      </c>
      <c r="J698" s="1">
        <v>44345</v>
      </c>
      <c r="L698">
        <v>1</v>
      </c>
      <c r="M698">
        <v>7</v>
      </c>
      <c r="N698" t="s">
        <v>28</v>
      </c>
      <c r="O698">
        <v>882562</v>
      </c>
      <c r="U698">
        <f>Table1[[#This Row],[Interview_Date]]-Table1[[#This Row],[Application_Date]]</f>
        <v>5</v>
      </c>
      <c r="V698" t="str">
        <f>IF(OR(Table1[[#This Row],[Offer_Date]]="",Table1[[#This Row],[Interview_Date]]=""),"",Table1[[#This Row],[Offer_Date]]-Table1[[#This Row],[Interview_Date]])</f>
        <v/>
      </c>
    </row>
    <row r="699" spans="1:22" x14ac:dyDescent="0.3">
      <c r="A699" t="s">
        <v>754</v>
      </c>
      <c r="B699" t="s">
        <v>63</v>
      </c>
      <c r="C699" t="s">
        <v>69</v>
      </c>
      <c r="D699" t="s">
        <v>18</v>
      </c>
      <c r="E699">
        <v>36</v>
      </c>
      <c r="F699" t="s">
        <v>74</v>
      </c>
      <c r="G699" t="s">
        <v>35</v>
      </c>
      <c r="H699" t="s">
        <v>51</v>
      </c>
      <c r="I699" s="1">
        <v>45056</v>
      </c>
      <c r="J699" s="1">
        <v>45059</v>
      </c>
      <c r="K699" s="1">
        <v>45062</v>
      </c>
      <c r="L699">
        <v>4</v>
      </c>
      <c r="M699">
        <v>4</v>
      </c>
      <c r="N699" t="s">
        <v>45</v>
      </c>
      <c r="O699">
        <v>780399</v>
      </c>
      <c r="U699">
        <f>Table1[[#This Row],[Interview_Date]]-Table1[[#This Row],[Application_Date]]</f>
        <v>3</v>
      </c>
      <c r="V699">
        <f>IF(OR(Table1[[#This Row],[Offer_Date]]="",Table1[[#This Row],[Interview_Date]]=""),"",Table1[[#This Row],[Offer_Date]]-Table1[[#This Row],[Interview_Date]])</f>
        <v>3</v>
      </c>
    </row>
    <row r="700" spans="1:22" x14ac:dyDescent="0.3">
      <c r="A700" t="s">
        <v>755</v>
      </c>
      <c r="B700" t="s">
        <v>33</v>
      </c>
      <c r="C700" t="s">
        <v>17</v>
      </c>
      <c r="D700" t="s">
        <v>18</v>
      </c>
      <c r="E700">
        <v>33</v>
      </c>
      <c r="F700" t="s">
        <v>19</v>
      </c>
      <c r="G700" t="s">
        <v>60</v>
      </c>
      <c r="H700" t="s">
        <v>21</v>
      </c>
      <c r="I700" s="1">
        <v>45333</v>
      </c>
      <c r="J700" s="1">
        <v>45336</v>
      </c>
      <c r="K700" s="1">
        <v>45338</v>
      </c>
      <c r="L700">
        <v>2</v>
      </c>
      <c r="M700">
        <v>6</v>
      </c>
      <c r="N700" t="s">
        <v>22</v>
      </c>
      <c r="O700">
        <v>707489</v>
      </c>
      <c r="U700">
        <f>Table1[[#This Row],[Interview_Date]]-Table1[[#This Row],[Application_Date]]</f>
        <v>3</v>
      </c>
      <c r="V700">
        <f>IF(OR(Table1[[#This Row],[Offer_Date]]="",Table1[[#This Row],[Interview_Date]]=""),"",Table1[[#This Row],[Offer_Date]]-Table1[[#This Row],[Interview_Date]])</f>
        <v>2</v>
      </c>
    </row>
    <row r="701" spans="1:22" x14ac:dyDescent="0.3">
      <c r="A701" t="s">
        <v>756</v>
      </c>
      <c r="B701" t="s">
        <v>58</v>
      </c>
      <c r="C701" t="s">
        <v>59</v>
      </c>
      <c r="D701" t="s">
        <v>18</v>
      </c>
      <c r="E701">
        <v>31</v>
      </c>
      <c r="F701" t="s">
        <v>74</v>
      </c>
      <c r="G701" t="s">
        <v>35</v>
      </c>
      <c r="H701" t="s">
        <v>40</v>
      </c>
      <c r="I701" s="1">
        <v>45065</v>
      </c>
      <c r="J701" s="1">
        <v>45075</v>
      </c>
      <c r="K701" s="1">
        <v>45079</v>
      </c>
      <c r="L701">
        <v>2</v>
      </c>
      <c r="M701">
        <v>2</v>
      </c>
      <c r="N701" t="s">
        <v>22</v>
      </c>
      <c r="O701">
        <v>1091390</v>
      </c>
      <c r="U701">
        <f>Table1[[#This Row],[Interview_Date]]-Table1[[#This Row],[Application_Date]]</f>
        <v>10</v>
      </c>
      <c r="V701">
        <f>IF(OR(Table1[[#This Row],[Offer_Date]]="",Table1[[#This Row],[Interview_Date]]=""),"",Table1[[#This Row],[Offer_Date]]-Table1[[#This Row],[Interview_Date]])</f>
        <v>4</v>
      </c>
    </row>
    <row r="702" spans="1:22" x14ac:dyDescent="0.3">
      <c r="A702" t="s">
        <v>757</v>
      </c>
      <c r="B702" t="s">
        <v>33</v>
      </c>
      <c r="C702" t="s">
        <v>53</v>
      </c>
      <c r="D702" t="s">
        <v>18</v>
      </c>
      <c r="E702">
        <v>45</v>
      </c>
      <c r="F702" t="s">
        <v>56</v>
      </c>
      <c r="G702" t="s">
        <v>35</v>
      </c>
      <c r="H702" t="s">
        <v>21</v>
      </c>
      <c r="I702" s="1">
        <v>45247</v>
      </c>
      <c r="J702" s="1">
        <v>45258</v>
      </c>
      <c r="K702" s="1">
        <v>45263</v>
      </c>
      <c r="L702">
        <v>2</v>
      </c>
      <c r="M702">
        <v>3</v>
      </c>
      <c r="N702" t="s">
        <v>22</v>
      </c>
      <c r="O702">
        <v>1006445</v>
      </c>
      <c r="U702">
        <f>Table1[[#This Row],[Interview_Date]]-Table1[[#This Row],[Application_Date]]</f>
        <v>11</v>
      </c>
      <c r="V702">
        <f>IF(OR(Table1[[#This Row],[Offer_Date]]="",Table1[[#This Row],[Interview_Date]]=""),"",Table1[[#This Row],[Offer_Date]]-Table1[[#This Row],[Interview_Date]])</f>
        <v>5</v>
      </c>
    </row>
    <row r="703" spans="1:22" x14ac:dyDescent="0.3">
      <c r="A703" t="s">
        <v>758</v>
      </c>
      <c r="B703" t="s">
        <v>42</v>
      </c>
      <c r="C703" t="s">
        <v>94</v>
      </c>
      <c r="D703" t="s">
        <v>18</v>
      </c>
      <c r="E703">
        <v>29</v>
      </c>
      <c r="F703" t="s">
        <v>31</v>
      </c>
      <c r="G703" t="s">
        <v>60</v>
      </c>
      <c r="H703" t="s">
        <v>51</v>
      </c>
      <c r="I703" s="1">
        <v>44575</v>
      </c>
      <c r="J703" s="1">
        <v>44586</v>
      </c>
      <c r="K703" s="1">
        <v>44590</v>
      </c>
      <c r="L703">
        <v>5</v>
      </c>
      <c r="M703">
        <v>8</v>
      </c>
      <c r="N703" t="s">
        <v>28</v>
      </c>
      <c r="O703">
        <v>761537</v>
      </c>
      <c r="U703">
        <f>Table1[[#This Row],[Interview_Date]]-Table1[[#This Row],[Application_Date]]</f>
        <v>11</v>
      </c>
      <c r="V703">
        <f>IF(OR(Table1[[#This Row],[Offer_Date]]="",Table1[[#This Row],[Interview_Date]]=""),"",Table1[[#This Row],[Offer_Date]]-Table1[[#This Row],[Interview_Date]])</f>
        <v>4</v>
      </c>
    </row>
    <row r="704" spans="1:22" x14ac:dyDescent="0.3">
      <c r="A704" t="s">
        <v>759</v>
      </c>
      <c r="B704" t="s">
        <v>63</v>
      </c>
      <c r="C704" t="s">
        <v>53</v>
      </c>
      <c r="D704" t="s">
        <v>18</v>
      </c>
      <c r="E704">
        <v>26</v>
      </c>
      <c r="F704" t="s">
        <v>31</v>
      </c>
      <c r="G704" t="s">
        <v>60</v>
      </c>
      <c r="H704" t="s">
        <v>54</v>
      </c>
      <c r="I704" s="1">
        <v>44525</v>
      </c>
      <c r="J704" s="1">
        <v>44528</v>
      </c>
      <c r="K704" s="1">
        <v>44530</v>
      </c>
      <c r="L704">
        <v>3</v>
      </c>
      <c r="M704">
        <v>2</v>
      </c>
      <c r="N704" t="s">
        <v>28</v>
      </c>
      <c r="O704">
        <v>435612</v>
      </c>
      <c r="U704">
        <f>Table1[[#This Row],[Interview_Date]]-Table1[[#This Row],[Application_Date]]</f>
        <v>3</v>
      </c>
      <c r="V704">
        <f>IF(OR(Table1[[#This Row],[Offer_Date]]="",Table1[[#This Row],[Interview_Date]]=""),"",Table1[[#This Row],[Offer_Date]]-Table1[[#This Row],[Interview_Date]])</f>
        <v>2</v>
      </c>
    </row>
    <row r="705" spans="1:22" x14ac:dyDescent="0.3">
      <c r="A705" t="s">
        <v>760</v>
      </c>
      <c r="B705" t="s">
        <v>58</v>
      </c>
      <c r="C705" t="s">
        <v>43</v>
      </c>
      <c r="D705" t="s">
        <v>18</v>
      </c>
      <c r="E705">
        <v>39</v>
      </c>
      <c r="F705" t="s">
        <v>56</v>
      </c>
      <c r="G705" t="s">
        <v>35</v>
      </c>
      <c r="H705" t="s">
        <v>40</v>
      </c>
      <c r="I705" s="1">
        <v>44503</v>
      </c>
      <c r="J705" s="1">
        <v>44516</v>
      </c>
      <c r="L705">
        <v>2</v>
      </c>
      <c r="M705">
        <v>4</v>
      </c>
      <c r="N705" t="s">
        <v>48</v>
      </c>
      <c r="O705">
        <v>1059665</v>
      </c>
      <c r="U705">
        <f>Table1[[#This Row],[Interview_Date]]-Table1[[#This Row],[Application_Date]]</f>
        <v>13</v>
      </c>
      <c r="V705" t="str">
        <f>IF(OR(Table1[[#This Row],[Offer_Date]]="",Table1[[#This Row],[Interview_Date]]=""),"",Table1[[#This Row],[Offer_Date]]-Table1[[#This Row],[Interview_Date]])</f>
        <v/>
      </c>
    </row>
    <row r="706" spans="1:22" x14ac:dyDescent="0.3">
      <c r="A706" t="s">
        <v>761</v>
      </c>
      <c r="B706" t="s">
        <v>24</v>
      </c>
      <c r="C706" t="s">
        <v>59</v>
      </c>
      <c r="D706" t="s">
        <v>18</v>
      </c>
      <c r="E706">
        <v>35</v>
      </c>
      <c r="F706" t="s">
        <v>31</v>
      </c>
      <c r="G706" t="s">
        <v>60</v>
      </c>
      <c r="H706" t="s">
        <v>40</v>
      </c>
      <c r="I706" s="1">
        <v>44941</v>
      </c>
      <c r="J706" s="1">
        <v>44952</v>
      </c>
      <c r="L706">
        <v>1</v>
      </c>
      <c r="M706">
        <v>8</v>
      </c>
      <c r="N706" t="s">
        <v>45</v>
      </c>
      <c r="O706">
        <v>1068866</v>
      </c>
      <c r="U706">
        <f>Table1[[#This Row],[Interview_Date]]-Table1[[#This Row],[Application_Date]]</f>
        <v>11</v>
      </c>
      <c r="V706" t="str">
        <f>IF(OR(Table1[[#This Row],[Offer_Date]]="",Table1[[#This Row],[Interview_Date]]=""),"",Table1[[#This Row],[Offer_Date]]-Table1[[#This Row],[Interview_Date]])</f>
        <v/>
      </c>
    </row>
    <row r="707" spans="1:22" x14ac:dyDescent="0.3">
      <c r="A707" t="s">
        <v>762</v>
      </c>
      <c r="B707" t="s">
        <v>38</v>
      </c>
      <c r="C707" t="s">
        <v>69</v>
      </c>
      <c r="D707" t="s">
        <v>18</v>
      </c>
      <c r="E707">
        <v>35</v>
      </c>
      <c r="F707" t="s">
        <v>74</v>
      </c>
      <c r="G707" t="s">
        <v>27</v>
      </c>
      <c r="H707" t="s">
        <v>51</v>
      </c>
      <c r="I707" s="1">
        <v>44925</v>
      </c>
      <c r="J707" s="1">
        <v>44929</v>
      </c>
      <c r="L707">
        <v>3</v>
      </c>
      <c r="M707">
        <v>7</v>
      </c>
      <c r="N707" t="s">
        <v>22</v>
      </c>
      <c r="O707">
        <v>361332</v>
      </c>
      <c r="U707">
        <f>Table1[[#This Row],[Interview_Date]]-Table1[[#This Row],[Application_Date]]</f>
        <v>4</v>
      </c>
      <c r="V707" t="str">
        <f>IF(OR(Table1[[#This Row],[Offer_Date]]="",Table1[[#This Row],[Interview_Date]]=""),"",Table1[[#This Row],[Offer_Date]]-Table1[[#This Row],[Interview_Date]])</f>
        <v/>
      </c>
    </row>
    <row r="708" spans="1:22" x14ac:dyDescent="0.3">
      <c r="A708" t="s">
        <v>763</v>
      </c>
      <c r="B708" t="s">
        <v>42</v>
      </c>
      <c r="C708" t="s">
        <v>30</v>
      </c>
      <c r="D708" t="s">
        <v>18</v>
      </c>
      <c r="E708">
        <v>24</v>
      </c>
      <c r="F708" t="s">
        <v>34</v>
      </c>
      <c r="G708" t="s">
        <v>27</v>
      </c>
      <c r="H708" t="s">
        <v>36</v>
      </c>
      <c r="I708" s="1">
        <v>45077</v>
      </c>
      <c r="J708" s="1">
        <v>45086</v>
      </c>
      <c r="L708">
        <v>5</v>
      </c>
      <c r="M708">
        <v>8</v>
      </c>
      <c r="N708" t="s">
        <v>45</v>
      </c>
      <c r="O708">
        <v>507345</v>
      </c>
      <c r="U708">
        <f>Table1[[#This Row],[Interview_Date]]-Table1[[#This Row],[Application_Date]]</f>
        <v>9</v>
      </c>
      <c r="V708" t="str">
        <f>IF(OR(Table1[[#This Row],[Offer_Date]]="",Table1[[#This Row],[Interview_Date]]=""),"",Table1[[#This Row],[Offer_Date]]-Table1[[#This Row],[Interview_Date]])</f>
        <v/>
      </c>
    </row>
    <row r="709" spans="1:22" x14ac:dyDescent="0.3">
      <c r="A709" t="s">
        <v>764</v>
      </c>
      <c r="B709" t="s">
        <v>47</v>
      </c>
      <c r="C709" t="s">
        <v>69</v>
      </c>
      <c r="D709" t="s">
        <v>18</v>
      </c>
      <c r="E709">
        <v>34</v>
      </c>
      <c r="F709" t="s">
        <v>31</v>
      </c>
      <c r="G709" t="s">
        <v>60</v>
      </c>
      <c r="H709" t="s">
        <v>36</v>
      </c>
      <c r="I709" s="1">
        <v>44957</v>
      </c>
      <c r="J709" s="1">
        <v>44971</v>
      </c>
      <c r="L709">
        <v>5</v>
      </c>
      <c r="M709">
        <v>2</v>
      </c>
      <c r="N709" t="s">
        <v>45</v>
      </c>
      <c r="O709">
        <v>765483</v>
      </c>
      <c r="U709">
        <f>Table1[[#This Row],[Interview_Date]]-Table1[[#This Row],[Application_Date]]</f>
        <v>14</v>
      </c>
      <c r="V709" t="str">
        <f>IF(OR(Table1[[#This Row],[Offer_Date]]="",Table1[[#This Row],[Interview_Date]]=""),"",Table1[[#This Row],[Offer_Date]]-Table1[[#This Row],[Interview_Date]])</f>
        <v/>
      </c>
    </row>
    <row r="710" spans="1:22" x14ac:dyDescent="0.3">
      <c r="A710" t="s">
        <v>765</v>
      </c>
      <c r="B710" t="s">
        <v>47</v>
      </c>
      <c r="C710" t="s">
        <v>50</v>
      </c>
      <c r="D710" t="s">
        <v>26</v>
      </c>
      <c r="E710">
        <v>28</v>
      </c>
      <c r="F710" t="s">
        <v>56</v>
      </c>
      <c r="G710" t="s">
        <v>60</v>
      </c>
      <c r="H710" t="s">
        <v>21</v>
      </c>
      <c r="I710" s="1">
        <v>45040</v>
      </c>
      <c r="J710" s="1">
        <v>45048</v>
      </c>
      <c r="K710" s="1">
        <v>45050</v>
      </c>
      <c r="L710">
        <v>2</v>
      </c>
      <c r="M710">
        <v>3</v>
      </c>
      <c r="N710" t="s">
        <v>28</v>
      </c>
      <c r="O710">
        <v>1156923</v>
      </c>
      <c r="U710">
        <f>Table1[[#This Row],[Interview_Date]]-Table1[[#This Row],[Application_Date]]</f>
        <v>8</v>
      </c>
      <c r="V710">
        <f>IF(OR(Table1[[#This Row],[Offer_Date]]="",Table1[[#This Row],[Interview_Date]]=""),"",Table1[[#This Row],[Offer_Date]]-Table1[[#This Row],[Interview_Date]])</f>
        <v>2</v>
      </c>
    </row>
    <row r="711" spans="1:22" x14ac:dyDescent="0.3">
      <c r="A711" t="s">
        <v>766</v>
      </c>
      <c r="B711" t="s">
        <v>38</v>
      </c>
      <c r="C711" t="s">
        <v>50</v>
      </c>
      <c r="D711" t="s">
        <v>26</v>
      </c>
      <c r="E711">
        <v>35</v>
      </c>
      <c r="F711" t="s">
        <v>74</v>
      </c>
      <c r="G711" t="s">
        <v>44</v>
      </c>
      <c r="H711" t="s">
        <v>21</v>
      </c>
      <c r="I711" s="1">
        <v>45335</v>
      </c>
      <c r="J711" s="1">
        <v>45349</v>
      </c>
      <c r="L711">
        <v>1</v>
      </c>
      <c r="M711">
        <v>3</v>
      </c>
      <c r="N711" t="s">
        <v>48</v>
      </c>
      <c r="O711">
        <v>445410</v>
      </c>
      <c r="U711">
        <f>Table1[[#This Row],[Interview_Date]]-Table1[[#This Row],[Application_Date]]</f>
        <v>14</v>
      </c>
      <c r="V711" t="str">
        <f>IF(OR(Table1[[#This Row],[Offer_Date]]="",Table1[[#This Row],[Interview_Date]]=""),"",Table1[[#This Row],[Offer_Date]]-Table1[[#This Row],[Interview_Date]])</f>
        <v/>
      </c>
    </row>
    <row r="712" spans="1:22" x14ac:dyDescent="0.3">
      <c r="A712" t="s">
        <v>767</v>
      </c>
      <c r="B712" t="s">
        <v>72</v>
      </c>
      <c r="C712" t="s">
        <v>17</v>
      </c>
      <c r="D712" t="s">
        <v>18</v>
      </c>
      <c r="E712">
        <v>35</v>
      </c>
      <c r="F712" t="s">
        <v>56</v>
      </c>
      <c r="G712" t="s">
        <v>60</v>
      </c>
      <c r="H712" t="s">
        <v>21</v>
      </c>
      <c r="I712" s="1">
        <v>45296</v>
      </c>
      <c r="J712" s="1">
        <v>45299</v>
      </c>
      <c r="K712" s="1">
        <v>45301</v>
      </c>
      <c r="L712">
        <v>3</v>
      </c>
      <c r="M712">
        <v>10</v>
      </c>
      <c r="N712" t="s">
        <v>48</v>
      </c>
      <c r="O712">
        <v>573713</v>
      </c>
      <c r="U712">
        <f>Table1[[#This Row],[Interview_Date]]-Table1[[#This Row],[Application_Date]]</f>
        <v>3</v>
      </c>
      <c r="V712">
        <f>IF(OR(Table1[[#This Row],[Offer_Date]]="",Table1[[#This Row],[Interview_Date]]=""),"",Table1[[#This Row],[Offer_Date]]-Table1[[#This Row],[Interview_Date]])</f>
        <v>2</v>
      </c>
    </row>
    <row r="713" spans="1:22" x14ac:dyDescent="0.3">
      <c r="A713" t="s">
        <v>768</v>
      </c>
      <c r="B713" t="s">
        <v>58</v>
      </c>
      <c r="C713" t="s">
        <v>59</v>
      </c>
      <c r="D713" t="s">
        <v>26</v>
      </c>
      <c r="E713">
        <v>28</v>
      </c>
      <c r="F713" t="s">
        <v>56</v>
      </c>
      <c r="G713" t="s">
        <v>20</v>
      </c>
      <c r="H713" t="s">
        <v>54</v>
      </c>
      <c r="I713" s="1">
        <v>44921</v>
      </c>
      <c r="J713" s="1">
        <v>44929</v>
      </c>
      <c r="L713">
        <v>5</v>
      </c>
      <c r="M713">
        <v>7</v>
      </c>
      <c r="N713" t="s">
        <v>45</v>
      </c>
      <c r="O713">
        <v>511693</v>
      </c>
      <c r="U713">
        <f>Table1[[#This Row],[Interview_Date]]-Table1[[#This Row],[Application_Date]]</f>
        <v>8</v>
      </c>
      <c r="V713" t="str">
        <f>IF(OR(Table1[[#This Row],[Offer_Date]]="",Table1[[#This Row],[Interview_Date]]=""),"",Table1[[#This Row],[Offer_Date]]-Table1[[#This Row],[Interview_Date]])</f>
        <v/>
      </c>
    </row>
    <row r="714" spans="1:22" x14ac:dyDescent="0.3">
      <c r="A714" t="s">
        <v>769</v>
      </c>
      <c r="B714" t="s">
        <v>72</v>
      </c>
      <c r="C714" t="s">
        <v>50</v>
      </c>
      <c r="D714" t="s">
        <v>18</v>
      </c>
      <c r="E714">
        <v>32</v>
      </c>
      <c r="F714" t="s">
        <v>39</v>
      </c>
      <c r="G714" t="s">
        <v>44</v>
      </c>
      <c r="H714" t="s">
        <v>51</v>
      </c>
      <c r="I714" s="1">
        <v>45162</v>
      </c>
      <c r="J714" s="1">
        <v>45175</v>
      </c>
      <c r="L714">
        <v>3</v>
      </c>
      <c r="M714">
        <v>2</v>
      </c>
      <c r="N714" t="s">
        <v>28</v>
      </c>
      <c r="O714">
        <v>474645</v>
      </c>
      <c r="U714">
        <f>Table1[[#This Row],[Interview_Date]]-Table1[[#This Row],[Application_Date]]</f>
        <v>13</v>
      </c>
      <c r="V714" t="str">
        <f>IF(OR(Table1[[#This Row],[Offer_Date]]="",Table1[[#This Row],[Interview_Date]]=""),"",Table1[[#This Row],[Offer_Date]]-Table1[[#This Row],[Interview_Date]])</f>
        <v/>
      </c>
    </row>
    <row r="715" spans="1:22" x14ac:dyDescent="0.3">
      <c r="A715" t="s">
        <v>770</v>
      </c>
      <c r="B715" t="s">
        <v>58</v>
      </c>
      <c r="C715" t="s">
        <v>53</v>
      </c>
      <c r="D715" t="s">
        <v>18</v>
      </c>
      <c r="E715">
        <v>29</v>
      </c>
      <c r="F715" t="s">
        <v>31</v>
      </c>
      <c r="G715" t="s">
        <v>27</v>
      </c>
      <c r="H715" t="s">
        <v>54</v>
      </c>
      <c r="I715" s="1">
        <v>45393</v>
      </c>
      <c r="J715" s="1">
        <v>45398</v>
      </c>
      <c r="L715">
        <v>5</v>
      </c>
      <c r="M715">
        <v>9</v>
      </c>
      <c r="N715" t="s">
        <v>45</v>
      </c>
      <c r="O715">
        <v>713541</v>
      </c>
      <c r="U715">
        <f>Table1[[#This Row],[Interview_Date]]-Table1[[#This Row],[Application_Date]]</f>
        <v>5</v>
      </c>
      <c r="V715" t="str">
        <f>IF(OR(Table1[[#This Row],[Offer_Date]]="",Table1[[#This Row],[Interview_Date]]=""),"",Table1[[#This Row],[Offer_Date]]-Table1[[#This Row],[Interview_Date]])</f>
        <v/>
      </c>
    </row>
    <row r="716" spans="1:22" x14ac:dyDescent="0.3">
      <c r="A716" t="s">
        <v>771</v>
      </c>
      <c r="B716" t="s">
        <v>58</v>
      </c>
      <c r="C716" t="s">
        <v>66</v>
      </c>
      <c r="D716" t="s">
        <v>18</v>
      </c>
      <c r="E716">
        <v>30</v>
      </c>
      <c r="F716" t="s">
        <v>74</v>
      </c>
      <c r="G716" t="s">
        <v>44</v>
      </c>
      <c r="H716" t="s">
        <v>36</v>
      </c>
      <c r="I716" s="1">
        <v>45260</v>
      </c>
      <c r="J716" s="1">
        <v>45269</v>
      </c>
      <c r="K716" s="1">
        <v>45273</v>
      </c>
      <c r="L716">
        <v>1</v>
      </c>
      <c r="M716">
        <v>8</v>
      </c>
      <c r="N716" t="s">
        <v>28</v>
      </c>
      <c r="O716">
        <v>588368</v>
      </c>
      <c r="U716">
        <f>Table1[[#This Row],[Interview_Date]]-Table1[[#This Row],[Application_Date]]</f>
        <v>9</v>
      </c>
      <c r="V716">
        <f>IF(OR(Table1[[#This Row],[Offer_Date]]="",Table1[[#This Row],[Interview_Date]]=""),"",Table1[[#This Row],[Offer_Date]]-Table1[[#This Row],[Interview_Date]])</f>
        <v>4</v>
      </c>
    </row>
    <row r="717" spans="1:22" x14ac:dyDescent="0.3">
      <c r="A717" t="s">
        <v>772</v>
      </c>
      <c r="B717" t="s">
        <v>16</v>
      </c>
      <c r="C717" t="s">
        <v>69</v>
      </c>
      <c r="D717" t="s">
        <v>18</v>
      </c>
      <c r="E717">
        <v>29</v>
      </c>
      <c r="F717" t="s">
        <v>31</v>
      </c>
      <c r="G717" t="s">
        <v>20</v>
      </c>
      <c r="H717" t="s">
        <v>51</v>
      </c>
      <c r="I717" s="1">
        <v>44665</v>
      </c>
      <c r="J717" s="1">
        <v>44680</v>
      </c>
      <c r="K717" s="1">
        <v>44682</v>
      </c>
      <c r="L717">
        <v>3</v>
      </c>
      <c r="M717">
        <v>2</v>
      </c>
      <c r="N717" t="s">
        <v>48</v>
      </c>
      <c r="O717">
        <v>804571</v>
      </c>
      <c r="U717">
        <f>Table1[[#This Row],[Interview_Date]]-Table1[[#This Row],[Application_Date]]</f>
        <v>15</v>
      </c>
      <c r="V717">
        <f>IF(OR(Table1[[#This Row],[Offer_Date]]="",Table1[[#This Row],[Interview_Date]]=""),"",Table1[[#This Row],[Offer_Date]]-Table1[[#This Row],[Interview_Date]])</f>
        <v>2</v>
      </c>
    </row>
    <row r="718" spans="1:22" x14ac:dyDescent="0.3">
      <c r="A718" t="s">
        <v>773</v>
      </c>
      <c r="B718" t="s">
        <v>16</v>
      </c>
      <c r="C718" t="s">
        <v>53</v>
      </c>
      <c r="D718" t="s">
        <v>18</v>
      </c>
      <c r="E718">
        <v>30</v>
      </c>
      <c r="F718" t="s">
        <v>74</v>
      </c>
      <c r="G718" t="s">
        <v>44</v>
      </c>
      <c r="H718" t="s">
        <v>54</v>
      </c>
      <c r="I718" s="1">
        <v>45075</v>
      </c>
      <c r="J718" s="1">
        <v>45079</v>
      </c>
      <c r="K718" s="1">
        <v>45086</v>
      </c>
      <c r="L718">
        <v>2</v>
      </c>
      <c r="M718">
        <v>6</v>
      </c>
      <c r="N718" t="s">
        <v>28</v>
      </c>
      <c r="O718">
        <v>1042193</v>
      </c>
      <c r="U718">
        <f>Table1[[#This Row],[Interview_Date]]-Table1[[#This Row],[Application_Date]]</f>
        <v>4</v>
      </c>
      <c r="V718">
        <f>IF(OR(Table1[[#This Row],[Offer_Date]]="",Table1[[#This Row],[Interview_Date]]=""),"",Table1[[#This Row],[Offer_Date]]-Table1[[#This Row],[Interview_Date]])</f>
        <v>7</v>
      </c>
    </row>
    <row r="719" spans="1:22" x14ac:dyDescent="0.3">
      <c r="A719" t="s">
        <v>774</v>
      </c>
      <c r="B719" t="s">
        <v>58</v>
      </c>
      <c r="C719" t="s">
        <v>69</v>
      </c>
      <c r="D719" t="s">
        <v>26</v>
      </c>
      <c r="E719">
        <v>43</v>
      </c>
      <c r="F719" t="s">
        <v>19</v>
      </c>
      <c r="G719" t="s">
        <v>27</v>
      </c>
      <c r="H719" t="s">
        <v>21</v>
      </c>
      <c r="I719" s="1">
        <v>45008</v>
      </c>
      <c r="J719" s="1">
        <v>45015</v>
      </c>
      <c r="K719" s="1">
        <v>45019</v>
      </c>
      <c r="L719">
        <v>4</v>
      </c>
      <c r="M719">
        <v>9</v>
      </c>
      <c r="N719" t="s">
        <v>48</v>
      </c>
      <c r="O719">
        <v>464199</v>
      </c>
      <c r="U719">
        <f>Table1[[#This Row],[Interview_Date]]-Table1[[#This Row],[Application_Date]]</f>
        <v>7</v>
      </c>
      <c r="V719">
        <f>IF(OR(Table1[[#This Row],[Offer_Date]]="",Table1[[#This Row],[Interview_Date]]=""),"",Table1[[#This Row],[Offer_Date]]-Table1[[#This Row],[Interview_Date]])</f>
        <v>4</v>
      </c>
    </row>
    <row r="720" spans="1:22" x14ac:dyDescent="0.3">
      <c r="A720" t="s">
        <v>775</v>
      </c>
      <c r="B720" t="s">
        <v>58</v>
      </c>
      <c r="C720" t="s">
        <v>69</v>
      </c>
      <c r="D720" t="s">
        <v>26</v>
      </c>
      <c r="E720">
        <v>21</v>
      </c>
      <c r="F720" t="s">
        <v>74</v>
      </c>
      <c r="G720" t="s">
        <v>20</v>
      </c>
      <c r="H720" t="s">
        <v>51</v>
      </c>
      <c r="I720" s="1">
        <v>45344</v>
      </c>
      <c r="J720" s="1">
        <v>45353</v>
      </c>
      <c r="K720" s="1">
        <v>45360</v>
      </c>
      <c r="L720">
        <v>2</v>
      </c>
      <c r="M720">
        <v>9</v>
      </c>
      <c r="N720" t="s">
        <v>22</v>
      </c>
      <c r="O720">
        <v>1099968</v>
      </c>
      <c r="U720">
        <f>Table1[[#This Row],[Interview_Date]]-Table1[[#This Row],[Application_Date]]</f>
        <v>9</v>
      </c>
      <c r="V720">
        <f>IF(OR(Table1[[#This Row],[Offer_Date]]="",Table1[[#This Row],[Interview_Date]]=""),"",Table1[[#This Row],[Offer_Date]]-Table1[[#This Row],[Interview_Date]])</f>
        <v>7</v>
      </c>
    </row>
    <row r="721" spans="1:22" x14ac:dyDescent="0.3">
      <c r="A721" t="s">
        <v>776</v>
      </c>
      <c r="B721" t="s">
        <v>58</v>
      </c>
      <c r="C721" t="s">
        <v>50</v>
      </c>
      <c r="D721" t="s">
        <v>18</v>
      </c>
      <c r="E721">
        <v>39</v>
      </c>
      <c r="F721" t="s">
        <v>31</v>
      </c>
      <c r="G721" t="s">
        <v>44</v>
      </c>
      <c r="H721" t="s">
        <v>36</v>
      </c>
      <c r="I721" s="1">
        <v>44275</v>
      </c>
      <c r="J721" s="1">
        <v>44288</v>
      </c>
      <c r="K721" s="1">
        <v>44295</v>
      </c>
      <c r="L721">
        <v>5</v>
      </c>
      <c r="M721">
        <v>8</v>
      </c>
      <c r="N721" t="s">
        <v>45</v>
      </c>
      <c r="O721">
        <v>507616</v>
      </c>
      <c r="U721">
        <f>Table1[[#This Row],[Interview_Date]]-Table1[[#This Row],[Application_Date]]</f>
        <v>13</v>
      </c>
      <c r="V721">
        <f>IF(OR(Table1[[#This Row],[Offer_Date]]="",Table1[[#This Row],[Interview_Date]]=""),"",Table1[[#This Row],[Offer_Date]]-Table1[[#This Row],[Interview_Date]])</f>
        <v>7</v>
      </c>
    </row>
    <row r="722" spans="1:22" x14ac:dyDescent="0.3">
      <c r="A722" t="s">
        <v>777</v>
      </c>
      <c r="B722" t="s">
        <v>63</v>
      </c>
      <c r="C722" t="s">
        <v>94</v>
      </c>
      <c r="D722" t="s">
        <v>18</v>
      </c>
      <c r="E722">
        <v>36</v>
      </c>
      <c r="F722" t="s">
        <v>74</v>
      </c>
      <c r="G722" t="s">
        <v>20</v>
      </c>
      <c r="H722" t="s">
        <v>51</v>
      </c>
      <c r="I722" s="1">
        <v>44816</v>
      </c>
      <c r="J722" s="1">
        <v>44825</v>
      </c>
      <c r="L722">
        <v>3</v>
      </c>
      <c r="M722">
        <v>6</v>
      </c>
      <c r="N722" t="s">
        <v>28</v>
      </c>
      <c r="O722">
        <v>805474</v>
      </c>
      <c r="U722">
        <f>Table1[[#This Row],[Interview_Date]]-Table1[[#This Row],[Application_Date]]</f>
        <v>9</v>
      </c>
      <c r="V722" t="str">
        <f>IF(OR(Table1[[#This Row],[Offer_Date]]="",Table1[[#This Row],[Interview_Date]]=""),"",Table1[[#This Row],[Offer_Date]]-Table1[[#This Row],[Interview_Date]])</f>
        <v/>
      </c>
    </row>
    <row r="723" spans="1:22" x14ac:dyDescent="0.3">
      <c r="A723" t="s">
        <v>778</v>
      </c>
      <c r="B723" t="s">
        <v>47</v>
      </c>
      <c r="C723" t="s">
        <v>25</v>
      </c>
      <c r="D723" t="s">
        <v>26</v>
      </c>
      <c r="E723">
        <v>43</v>
      </c>
      <c r="F723" t="s">
        <v>19</v>
      </c>
      <c r="G723" t="s">
        <v>35</v>
      </c>
      <c r="H723" t="s">
        <v>21</v>
      </c>
      <c r="I723" s="1">
        <v>44861</v>
      </c>
      <c r="J723" s="1">
        <v>44871</v>
      </c>
      <c r="K723" s="1">
        <v>44874</v>
      </c>
      <c r="L723">
        <v>2</v>
      </c>
      <c r="M723">
        <v>3</v>
      </c>
      <c r="N723" t="s">
        <v>28</v>
      </c>
      <c r="O723">
        <v>579397</v>
      </c>
      <c r="U723">
        <f>Table1[[#This Row],[Interview_Date]]-Table1[[#This Row],[Application_Date]]</f>
        <v>10</v>
      </c>
      <c r="V723">
        <f>IF(OR(Table1[[#This Row],[Offer_Date]]="",Table1[[#This Row],[Interview_Date]]=""),"",Table1[[#This Row],[Offer_Date]]-Table1[[#This Row],[Interview_Date]])</f>
        <v>3</v>
      </c>
    </row>
    <row r="724" spans="1:22" x14ac:dyDescent="0.3">
      <c r="A724" t="s">
        <v>779</v>
      </c>
      <c r="B724" t="s">
        <v>58</v>
      </c>
      <c r="C724" t="s">
        <v>53</v>
      </c>
      <c r="D724" t="s">
        <v>18</v>
      </c>
      <c r="E724">
        <v>39</v>
      </c>
      <c r="F724" t="s">
        <v>39</v>
      </c>
      <c r="G724" t="s">
        <v>44</v>
      </c>
      <c r="H724" t="s">
        <v>21</v>
      </c>
      <c r="I724" s="1">
        <v>45030</v>
      </c>
      <c r="J724" s="1">
        <v>45036</v>
      </c>
      <c r="K724" s="1">
        <v>45043</v>
      </c>
      <c r="L724">
        <v>2</v>
      </c>
      <c r="M724">
        <v>6</v>
      </c>
      <c r="N724" t="s">
        <v>28</v>
      </c>
      <c r="O724">
        <v>862155</v>
      </c>
      <c r="U724">
        <f>Table1[[#This Row],[Interview_Date]]-Table1[[#This Row],[Application_Date]]</f>
        <v>6</v>
      </c>
      <c r="V724">
        <f>IF(OR(Table1[[#This Row],[Offer_Date]]="",Table1[[#This Row],[Interview_Date]]=""),"",Table1[[#This Row],[Offer_Date]]-Table1[[#This Row],[Interview_Date]])</f>
        <v>7</v>
      </c>
    </row>
    <row r="725" spans="1:22" x14ac:dyDescent="0.3">
      <c r="A725" t="s">
        <v>780</v>
      </c>
      <c r="B725" t="s">
        <v>47</v>
      </c>
      <c r="C725" t="s">
        <v>94</v>
      </c>
      <c r="D725" t="s">
        <v>18</v>
      </c>
      <c r="E725">
        <v>44</v>
      </c>
      <c r="F725" t="s">
        <v>19</v>
      </c>
      <c r="G725" t="s">
        <v>20</v>
      </c>
      <c r="H725" t="s">
        <v>21</v>
      </c>
      <c r="I725" s="1">
        <v>44292</v>
      </c>
      <c r="J725" s="1">
        <v>44304</v>
      </c>
      <c r="K725" s="1">
        <v>44307</v>
      </c>
      <c r="L725">
        <v>4</v>
      </c>
      <c r="M725">
        <v>2</v>
      </c>
      <c r="N725" t="s">
        <v>28</v>
      </c>
      <c r="O725">
        <v>1048317</v>
      </c>
      <c r="U725">
        <f>Table1[[#This Row],[Interview_Date]]-Table1[[#This Row],[Application_Date]]</f>
        <v>12</v>
      </c>
      <c r="V725">
        <f>IF(OR(Table1[[#This Row],[Offer_Date]]="",Table1[[#This Row],[Interview_Date]]=""),"",Table1[[#This Row],[Offer_Date]]-Table1[[#This Row],[Interview_Date]])</f>
        <v>3</v>
      </c>
    </row>
    <row r="726" spans="1:22" x14ac:dyDescent="0.3">
      <c r="A726" t="s">
        <v>781</v>
      </c>
      <c r="B726" t="s">
        <v>65</v>
      </c>
      <c r="C726" t="s">
        <v>59</v>
      </c>
      <c r="D726" t="s">
        <v>18</v>
      </c>
      <c r="E726">
        <v>23</v>
      </c>
      <c r="F726" t="s">
        <v>31</v>
      </c>
      <c r="G726" t="s">
        <v>44</v>
      </c>
      <c r="H726" t="s">
        <v>21</v>
      </c>
      <c r="I726" s="1">
        <v>44554</v>
      </c>
      <c r="J726" s="1">
        <v>44559</v>
      </c>
      <c r="K726" s="1">
        <v>44564</v>
      </c>
      <c r="L726">
        <v>3</v>
      </c>
      <c r="M726">
        <v>4</v>
      </c>
      <c r="N726" t="s">
        <v>48</v>
      </c>
      <c r="O726">
        <v>836477</v>
      </c>
      <c r="U726">
        <f>Table1[[#This Row],[Interview_Date]]-Table1[[#This Row],[Application_Date]]</f>
        <v>5</v>
      </c>
      <c r="V726">
        <f>IF(OR(Table1[[#This Row],[Offer_Date]]="",Table1[[#This Row],[Interview_Date]]=""),"",Table1[[#This Row],[Offer_Date]]-Table1[[#This Row],[Interview_Date]])</f>
        <v>5</v>
      </c>
    </row>
    <row r="727" spans="1:22" x14ac:dyDescent="0.3">
      <c r="A727" t="s">
        <v>782</v>
      </c>
      <c r="B727" t="s">
        <v>72</v>
      </c>
      <c r="C727" t="s">
        <v>69</v>
      </c>
      <c r="D727" t="s">
        <v>18</v>
      </c>
      <c r="E727">
        <v>39</v>
      </c>
      <c r="F727" t="s">
        <v>39</v>
      </c>
      <c r="G727" t="s">
        <v>20</v>
      </c>
      <c r="H727" t="s">
        <v>36</v>
      </c>
      <c r="I727" s="1">
        <v>44427</v>
      </c>
      <c r="J727" s="1">
        <v>44431</v>
      </c>
      <c r="L727">
        <v>1</v>
      </c>
      <c r="M727">
        <v>9</v>
      </c>
      <c r="N727" t="s">
        <v>48</v>
      </c>
      <c r="O727">
        <v>476018</v>
      </c>
      <c r="U727">
        <f>Table1[[#This Row],[Interview_Date]]-Table1[[#This Row],[Application_Date]]</f>
        <v>4</v>
      </c>
      <c r="V727" t="str">
        <f>IF(OR(Table1[[#This Row],[Offer_Date]]="",Table1[[#This Row],[Interview_Date]]=""),"",Table1[[#This Row],[Offer_Date]]-Table1[[#This Row],[Interview_Date]])</f>
        <v/>
      </c>
    </row>
    <row r="728" spans="1:22" x14ac:dyDescent="0.3">
      <c r="A728" t="s">
        <v>783</v>
      </c>
      <c r="B728" t="s">
        <v>58</v>
      </c>
      <c r="C728" t="s">
        <v>43</v>
      </c>
      <c r="D728" t="s">
        <v>18</v>
      </c>
      <c r="E728">
        <v>41</v>
      </c>
      <c r="F728" t="s">
        <v>74</v>
      </c>
      <c r="G728" t="s">
        <v>27</v>
      </c>
      <c r="H728" t="s">
        <v>51</v>
      </c>
      <c r="I728" s="1">
        <v>44210</v>
      </c>
      <c r="J728" s="1">
        <v>44220</v>
      </c>
      <c r="K728" s="1">
        <v>44225</v>
      </c>
      <c r="L728">
        <v>1</v>
      </c>
      <c r="M728">
        <v>4</v>
      </c>
      <c r="N728" t="s">
        <v>22</v>
      </c>
      <c r="O728">
        <v>408771</v>
      </c>
      <c r="U728">
        <f>Table1[[#This Row],[Interview_Date]]-Table1[[#This Row],[Application_Date]]</f>
        <v>10</v>
      </c>
      <c r="V728">
        <f>IF(OR(Table1[[#This Row],[Offer_Date]]="",Table1[[#This Row],[Interview_Date]]=""),"",Table1[[#This Row],[Offer_Date]]-Table1[[#This Row],[Interview_Date]])</f>
        <v>5</v>
      </c>
    </row>
    <row r="729" spans="1:22" x14ac:dyDescent="0.3">
      <c r="A729" t="s">
        <v>784</v>
      </c>
      <c r="B729" t="s">
        <v>58</v>
      </c>
      <c r="C729" t="s">
        <v>50</v>
      </c>
      <c r="D729" t="s">
        <v>18</v>
      </c>
      <c r="E729">
        <v>32</v>
      </c>
      <c r="F729" t="s">
        <v>74</v>
      </c>
      <c r="G729" t="s">
        <v>35</v>
      </c>
      <c r="H729" t="s">
        <v>40</v>
      </c>
      <c r="I729" s="1">
        <v>45242</v>
      </c>
      <c r="J729" s="1">
        <v>45251</v>
      </c>
      <c r="K729" s="1">
        <v>45255</v>
      </c>
      <c r="L729">
        <v>5</v>
      </c>
      <c r="M729">
        <v>5</v>
      </c>
      <c r="N729" t="s">
        <v>45</v>
      </c>
      <c r="O729">
        <v>567007</v>
      </c>
      <c r="U729">
        <f>Table1[[#This Row],[Interview_Date]]-Table1[[#This Row],[Application_Date]]</f>
        <v>9</v>
      </c>
      <c r="V729">
        <f>IF(OR(Table1[[#This Row],[Offer_Date]]="",Table1[[#This Row],[Interview_Date]]=""),"",Table1[[#This Row],[Offer_Date]]-Table1[[#This Row],[Interview_Date]])</f>
        <v>4</v>
      </c>
    </row>
    <row r="730" spans="1:22" x14ac:dyDescent="0.3">
      <c r="A730" t="s">
        <v>785</v>
      </c>
      <c r="B730" t="s">
        <v>47</v>
      </c>
      <c r="C730" t="s">
        <v>69</v>
      </c>
      <c r="D730" t="s">
        <v>26</v>
      </c>
      <c r="E730">
        <v>45</v>
      </c>
      <c r="F730" t="s">
        <v>31</v>
      </c>
      <c r="G730" t="s">
        <v>27</v>
      </c>
      <c r="H730" t="s">
        <v>54</v>
      </c>
      <c r="I730" s="1">
        <v>45095</v>
      </c>
      <c r="J730" s="1">
        <v>45107</v>
      </c>
      <c r="L730">
        <v>1</v>
      </c>
      <c r="M730">
        <v>3</v>
      </c>
      <c r="N730" t="s">
        <v>22</v>
      </c>
      <c r="O730">
        <v>607058</v>
      </c>
      <c r="U730">
        <f>Table1[[#This Row],[Interview_Date]]-Table1[[#This Row],[Application_Date]]</f>
        <v>12</v>
      </c>
      <c r="V730" t="str">
        <f>IF(OR(Table1[[#This Row],[Offer_Date]]="",Table1[[#This Row],[Interview_Date]]=""),"",Table1[[#This Row],[Offer_Date]]-Table1[[#This Row],[Interview_Date]])</f>
        <v/>
      </c>
    </row>
    <row r="731" spans="1:22" x14ac:dyDescent="0.3">
      <c r="A731" t="s">
        <v>786</v>
      </c>
      <c r="B731" t="s">
        <v>72</v>
      </c>
      <c r="C731" t="s">
        <v>50</v>
      </c>
      <c r="D731" t="s">
        <v>26</v>
      </c>
      <c r="E731">
        <v>38</v>
      </c>
      <c r="F731" t="s">
        <v>34</v>
      </c>
      <c r="G731" t="s">
        <v>27</v>
      </c>
      <c r="H731" t="s">
        <v>36</v>
      </c>
      <c r="I731" s="1">
        <v>44692</v>
      </c>
      <c r="J731" s="1">
        <v>44706</v>
      </c>
      <c r="L731">
        <v>3</v>
      </c>
      <c r="M731">
        <v>3</v>
      </c>
      <c r="N731" t="s">
        <v>45</v>
      </c>
      <c r="O731">
        <v>1186139</v>
      </c>
      <c r="U731">
        <f>Table1[[#This Row],[Interview_Date]]-Table1[[#This Row],[Application_Date]]</f>
        <v>14</v>
      </c>
      <c r="V731" t="str">
        <f>IF(OR(Table1[[#This Row],[Offer_Date]]="",Table1[[#This Row],[Interview_Date]]=""),"",Table1[[#This Row],[Offer_Date]]-Table1[[#This Row],[Interview_Date]])</f>
        <v/>
      </c>
    </row>
    <row r="732" spans="1:22" x14ac:dyDescent="0.3">
      <c r="A732" t="s">
        <v>787</v>
      </c>
      <c r="B732" t="s">
        <v>63</v>
      </c>
      <c r="C732" t="s">
        <v>30</v>
      </c>
      <c r="D732" t="s">
        <v>18</v>
      </c>
      <c r="E732">
        <v>21</v>
      </c>
      <c r="F732" t="s">
        <v>31</v>
      </c>
      <c r="G732" t="s">
        <v>27</v>
      </c>
      <c r="H732" t="s">
        <v>36</v>
      </c>
      <c r="I732" s="1">
        <v>45374</v>
      </c>
      <c r="J732" s="1">
        <v>45378</v>
      </c>
      <c r="K732" s="1">
        <v>45381</v>
      </c>
      <c r="L732">
        <v>2</v>
      </c>
      <c r="M732">
        <v>3</v>
      </c>
      <c r="N732" t="s">
        <v>28</v>
      </c>
      <c r="O732">
        <v>1126137</v>
      </c>
      <c r="U732">
        <f>Table1[[#This Row],[Interview_Date]]-Table1[[#This Row],[Application_Date]]</f>
        <v>4</v>
      </c>
      <c r="V732">
        <f>IF(OR(Table1[[#This Row],[Offer_Date]]="",Table1[[#This Row],[Interview_Date]]=""),"",Table1[[#This Row],[Offer_Date]]-Table1[[#This Row],[Interview_Date]])</f>
        <v>3</v>
      </c>
    </row>
    <row r="733" spans="1:22" x14ac:dyDescent="0.3">
      <c r="A733" t="s">
        <v>788</v>
      </c>
      <c r="B733" t="s">
        <v>33</v>
      </c>
      <c r="C733" t="s">
        <v>53</v>
      </c>
      <c r="D733" t="s">
        <v>18</v>
      </c>
      <c r="E733">
        <v>23</v>
      </c>
      <c r="F733" t="s">
        <v>34</v>
      </c>
      <c r="G733" t="s">
        <v>35</v>
      </c>
      <c r="H733" t="s">
        <v>54</v>
      </c>
      <c r="I733" s="1">
        <v>45074</v>
      </c>
      <c r="J733" s="1">
        <v>45084</v>
      </c>
      <c r="L733">
        <v>2</v>
      </c>
      <c r="M733">
        <v>5</v>
      </c>
      <c r="N733" t="s">
        <v>28</v>
      </c>
      <c r="O733">
        <v>976667</v>
      </c>
      <c r="U733">
        <f>Table1[[#This Row],[Interview_Date]]-Table1[[#This Row],[Application_Date]]</f>
        <v>10</v>
      </c>
      <c r="V733" t="str">
        <f>IF(OR(Table1[[#This Row],[Offer_Date]]="",Table1[[#This Row],[Interview_Date]]=""),"",Table1[[#This Row],[Offer_Date]]-Table1[[#This Row],[Interview_Date]])</f>
        <v/>
      </c>
    </row>
    <row r="734" spans="1:22" x14ac:dyDescent="0.3">
      <c r="A734" t="s">
        <v>789</v>
      </c>
      <c r="B734" t="s">
        <v>47</v>
      </c>
      <c r="C734" t="s">
        <v>17</v>
      </c>
      <c r="D734" t="s">
        <v>18</v>
      </c>
      <c r="E734">
        <v>33</v>
      </c>
      <c r="F734" t="s">
        <v>19</v>
      </c>
      <c r="G734" t="s">
        <v>44</v>
      </c>
      <c r="H734" t="s">
        <v>51</v>
      </c>
      <c r="I734" s="1">
        <v>44567</v>
      </c>
      <c r="J734" s="1">
        <v>44581</v>
      </c>
      <c r="L734">
        <v>4</v>
      </c>
      <c r="M734">
        <v>4</v>
      </c>
      <c r="N734" t="s">
        <v>48</v>
      </c>
      <c r="O734">
        <v>851213</v>
      </c>
      <c r="U734">
        <f>Table1[[#This Row],[Interview_Date]]-Table1[[#This Row],[Application_Date]]</f>
        <v>14</v>
      </c>
      <c r="V734" t="str">
        <f>IF(OR(Table1[[#This Row],[Offer_Date]]="",Table1[[#This Row],[Interview_Date]]=""),"",Table1[[#This Row],[Offer_Date]]-Table1[[#This Row],[Interview_Date]])</f>
        <v/>
      </c>
    </row>
    <row r="735" spans="1:22" x14ac:dyDescent="0.3">
      <c r="A735" t="s">
        <v>790</v>
      </c>
      <c r="B735" t="s">
        <v>47</v>
      </c>
      <c r="C735" t="s">
        <v>43</v>
      </c>
      <c r="D735" t="s">
        <v>26</v>
      </c>
      <c r="E735">
        <v>23</v>
      </c>
      <c r="F735" t="s">
        <v>34</v>
      </c>
      <c r="G735" t="s">
        <v>44</v>
      </c>
      <c r="H735" t="s">
        <v>54</v>
      </c>
      <c r="I735" s="1">
        <v>45298</v>
      </c>
      <c r="J735" s="1">
        <v>45312</v>
      </c>
      <c r="K735" s="1">
        <v>45317</v>
      </c>
      <c r="L735">
        <v>1</v>
      </c>
      <c r="M735">
        <v>5</v>
      </c>
      <c r="N735" t="s">
        <v>45</v>
      </c>
      <c r="O735">
        <v>1165080</v>
      </c>
      <c r="U735">
        <f>Table1[[#This Row],[Interview_Date]]-Table1[[#This Row],[Application_Date]]</f>
        <v>14</v>
      </c>
      <c r="V735">
        <f>IF(OR(Table1[[#This Row],[Offer_Date]]="",Table1[[#This Row],[Interview_Date]]=""),"",Table1[[#This Row],[Offer_Date]]-Table1[[#This Row],[Interview_Date]])</f>
        <v>5</v>
      </c>
    </row>
    <row r="736" spans="1:22" x14ac:dyDescent="0.3">
      <c r="A736" t="s">
        <v>791</v>
      </c>
      <c r="B736" t="s">
        <v>72</v>
      </c>
      <c r="C736" t="s">
        <v>50</v>
      </c>
      <c r="D736" t="s">
        <v>18</v>
      </c>
      <c r="E736">
        <v>39</v>
      </c>
      <c r="F736" t="s">
        <v>19</v>
      </c>
      <c r="G736" t="s">
        <v>44</v>
      </c>
      <c r="H736" t="s">
        <v>36</v>
      </c>
      <c r="I736" s="1">
        <v>44986</v>
      </c>
      <c r="J736" s="1">
        <v>44993</v>
      </c>
      <c r="L736">
        <v>2</v>
      </c>
      <c r="M736">
        <v>9</v>
      </c>
      <c r="N736" t="s">
        <v>28</v>
      </c>
      <c r="O736">
        <v>826637</v>
      </c>
      <c r="U736">
        <f>Table1[[#This Row],[Interview_Date]]-Table1[[#This Row],[Application_Date]]</f>
        <v>7</v>
      </c>
      <c r="V736" t="str">
        <f>IF(OR(Table1[[#This Row],[Offer_Date]]="",Table1[[#This Row],[Interview_Date]]=""),"",Table1[[#This Row],[Offer_Date]]-Table1[[#This Row],[Interview_Date]])</f>
        <v/>
      </c>
    </row>
    <row r="737" spans="1:22" x14ac:dyDescent="0.3">
      <c r="A737" t="s">
        <v>792</v>
      </c>
      <c r="B737" t="s">
        <v>47</v>
      </c>
      <c r="C737" t="s">
        <v>66</v>
      </c>
      <c r="D737" t="s">
        <v>26</v>
      </c>
      <c r="E737">
        <v>27</v>
      </c>
      <c r="F737" t="s">
        <v>34</v>
      </c>
      <c r="G737" t="s">
        <v>60</v>
      </c>
      <c r="H737" t="s">
        <v>36</v>
      </c>
      <c r="I737" s="1">
        <v>44495</v>
      </c>
      <c r="J737" s="1">
        <v>44510</v>
      </c>
      <c r="L737">
        <v>3</v>
      </c>
      <c r="M737">
        <v>2</v>
      </c>
      <c r="N737" t="s">
        <v>48</v>
      </c>
      <c r="O737">
        <v>882250</v>
      </c>
      <c r="U737">
        <f>Table1[[#This Row],[Interview_Date]]-Table1[[#This Row],[Application_Date]]</f>
        <v>15</v>
      </c>
      <c r="V737" t="str">
        <f>IF(OR(Table1[[#This Row],[Offer_Date]]="",Table1[[#This Row],[Interview_Date]]=""),"",Table1[[#This Row],[Offer_Date]]-Table1[[#This Row],[Interview_Date]])</f>
        <v/>
      </c>
    </row>
    <row r="738" spans="1:22" x14ac:dyDescent="0.3">
      <c r="A738" t="s">
        <v>793</v>
      </c>
      <c r="B738" t="s">
        <v>16</v>
      </c>
      <c r="C738" t="s">
        <v>30</v>
      </c>
      <c r="D738" t="s">
        <v>26</v>
      </c>
      <c r="E738">
        <v>27</v>
      </c>
      <c r="F738" t="s">
        <v>31</v>
      </c>
      <c r="G738" t="s">
        <v>60</v>
      </c>
      <c r="H738" t="s">
        <v>51</v>
      </c>
      <c r="I738" s="1">
        <v>45256</v>
      </c>
      <c r="J738" s="1">
        <v>45264</v>
      </c>
      <c r="K738" s="1">
        <v>45267</v>
      </c>
      <c r="L738">
        <v>2</v>
      </c>
      <c r="M738">
        <v>8</v>
      </c>
      <c r="N738" t="s">
        <v>22</v>
      </c>
      <c r="O738">
        <v>667866</v>
      </c>
      <c r="U738">
        <f>Table1[[#This Row],[Interview_Date]]-Table1[[#This Row],[Application_Date]]</f>
        <v>8</v>
      </c>
      <c r="V738">
        <f>IF(OR(Table1[[#This Row],[Offer_Date]]="",Table1[[#This Row],[Interview_Date]]=""),"",Table1[[#This Row],[Offer_Date]]-Table1[[#This Row],[Interview_Date]])</f>
        <v>3</v>
      </c>
    </row>
    <row r="739" spans="1:22" x14ac:dyDescent="0.3">
      <c r="A739" t="s">
        <v>794</v>
      </c>
      <c r="B739" t="s">
        <v>63</v>
      </c>
      <c r="C739" t="s">
        <v>66</v>
      </c>
      <c r="D739" t="s">
        <v>18</v>
      </c>
      <c r="E739">
        <v>44</v>
      </c>
      <c r="F739" t="s">
        <v>39</v>
      </c>
      <c r="G739" t="s">
        <v>27</v>
      </c>
      <c r="H739" t="s">
        <v>36</v>
      </c>
      <c r="I739" s="1">
        <v>44598</v>
      </c>
      <c r="J739" s="1">
        <v>44606</v>
      </c>
      <c r="K739" s="1">
        <v>44610</v>
      </c>
      <c r="L739">
        <v>5</v>
      </c>
      <c r="M739">
        <v>5</v>
      </c>
      <c r="N739" t="s">
        <v>28</v>
      </c>
      <c r="O739">
        <v>1158591</v>
      </c>
      <c r="U739">
        <f>Table1[[#This Row],[Interview_Date]]-Table1[[#This Row],[Application_Date]]</f>
        <v>8</v>
      </c>
      <c r="V739">
        <f>IF(OR(Table1[[#This Row],[Offer_Date]]="",Table1[[#This Row],[Interview_Date]]=""),"",Table1[[#This Row],[Offer_Date]]-Table1[[#This Row],[Interview_Date]])</f>
        <v>4</v>
      </c>
    </row>
    <row r="740" spans="1:22" x14ac:dyDescent="0.3">
      <c r="A740" t="s">
        <v>795</v>
      </c>
      <c r="B740" t="s">
        <v>63</v>
      </c>
      <c r="C740" t="s">
        <v>53</v>
      </c>
      <c r="D740" t="s">
        <v>18</v>
      </c>
      <c r="E740">
        <v>34</v>
      </c>
      <c r="F740" t="s">
        <v>74</v>
      </c>
      <c r="G740" t="s">
        <v>20</v>
      </c>
      <c r="H740" t="s">
        <v>36</v>
      </c>
      <c r="I740" s="1">
        <v>44591</v>
      </c>
      <c r="J740" s="1">
        <v>44606</v>
      </c>
      <c r="K740" s="1">
        <v>44609</v>
      </c>
      <c r="L740">
        <v>2</v>
      </c>
      <c r="M740">
        <v>5</v>
      </c>
      <c r="N740" t="s">
        <v>48</v>
      </c>
      <c r="O740">
        <v>865256</v>
      </c>
      <c r="U740">
        <f>Table1[[#This Row],[Interview_Date]]-Table1[[#This Row],[Application_Date]]</f>
        <v>15</v>
      </c>
      <c r="V740">
        <f>IF(OR(Table1[[#This Row],[Offer_Date]]="",Table1[[#This Row],[Interview_Date]]=""),"",Table1[[#This Row],[Offer_Date]]-Table1[[#This Row],[Interview_Date]])</f>
        <v>3</v>
      </c>
    </row>
    <row r="741" spans="1:22" x14ac:dyDescent="0.3">
      <c r="A741" t="s">
        <v>796</v>
      </c>
      <c r="B741" t="s">
        <v>38</v>
      </c>
      <c r="C741" t="s">
        <v>43</v>
      </c>
      <c r="D741" t="s">
        <v>26</v>
      </c>
      <c r="E741">
        <v>21</v>
      </c>
      <c r="F741" t="s">
        <v>34</v>
      </c>
      <c r="G741" t="s">
        <v>20</v>
      </c>
      <c r="H741" t="s">
        <v>40</v>
      </c>
      <c r="I741" s="1">
        <v>45367</v>
      </c>
      <c r="J741" s="1">
        <v>45374</v>
      </c>
      <c r="L741">
        <v>3</v>
      </c>
      <c r="M741">
        <v>3</v>
      </c>
      <c r="N741" t="s">
        <v>28</v>
      </c>
      <c r="O741">
        <v>548904</v>
      </c>
      <c r="U741">
        <f>Table1[[#This Row],[Interview_Date]]-Table1[[#This Row],[Application_Date]]</f>
        <v>7</v>
      </c>
      <c r="V741" t="str">
        <f>IF(OR(Table1[[#This Row],[Offer_Date]]="",Table1[[#This Row],[Interview_Date]]=""),"",Table1[[#This Row],[Offer_Date]]-Table1[[#This Row],[Interview_Date]])</f>
        <v/>
      </c>
    </row>
    <row r="742" spans="1:22" x14ac:dyDescent="0.3">
      <c r="A742" t="s">
        <v>797</v>
      </c>
      <c r="B742" t="s">
        <v>47</v>
      </c>
      <c r="C742" t="s">
        <v>25</v>
      </c>
      <c r="D742" t="s">
        <v>18</v>
      </c>
      <c r="E742">
        <v>24</v>
      </c>
      <c r="F742" t="s">
        <v>39</v>
      </c>
      <c r="G742" t="s">
        <v>60</v>
      </c>
      <c r="H742" t="s">
        <v>54</v>
      </c>
      <c r="I742" s="1">
        <v>44761</v>
      </c>
      <c r="J742" s="1">
        <v>44774</v>
      </c>
      <c r="L742">
        <v>2</v>
      </c>
      <c r="M742">
        <v>2</v>
      </c>
      <c r="N742" t="s">
        <v>48</v>
      </c>
      <c r="O742">
        <v>750728</v>
      </c>
      <c r="U742">
        <f>Table1[[#This Row],[Interview_Date]]-Table1[[#This Row],[Application_Date]]</f>
        <v>13</v>
      </c>
      <c r="V742" t="str">
        <f>IF(OR(Table1[[#This Row],[Offer_Date]]="",Table1[[#This Row],[Interview_Date]]=""),"",Table1[[#This Row],[Offer_Date]]-Table1[[#This Row],[Interview_Date]])</f>
        <v/>
      </c>
    </row>
    <row r="743" spans="1:22" x14ac:dyDescent="0.3">
      <c r="A743" t="s">
        <v>798</v>
      </c>
      <c r="B743" t="s">
        <v>47</v>
      </c>
      <c r="C743" t="s">
        <v>25</v>
      </c>
      <c r="D743" t="s">
        <v>18</v>
      </c>
      <c r="E743">
        <v>21</v>
      </c>
      <c r="F743" t="s">
        <v>74</v>
      </c>
      <c r="G743" t="s">
        <v>20</v>
      </c>
      <c r="H743" t="s">
        <v>21</v>
      </c>
      <c r="I743" s="1">
        <v>44878</v>
      </c>
      <c r="J743" s="1">
        <v>44893</v>
      </c>
      <c r="K743" s="1">
        <v>44900</v>
      </c>
      <c r="L743">
        <v>3</v>
      </c>
      <c r="M743">
        <v>3</v>
      </c>
      <c r="N743" t="s">
        <v>48</v>
      </c>
      <c r="O743">
        <v>828360</v>
      </c>
      <c r="U743">
        <f>Table1[[#This Row],[Interview_Date]]-Table1[[#This Row],[Application_Date]]</f>
        <v>15</v>
      </c>
      <c r="V743">
        <f>IF(OR(Table1[[#This Row],[Offer_Date]]="",Table1[[#This Row],[Interview_Date]]=""),"",Table1[[#This Row],[Offer_Date]]-Table1[[#This Row],[Interview_Date]])</f>
        <v>7</v>
      </c>
    </row>
    <row r="744" spans="1:22" x14ac:dyDescent="0.3">
      <c r="A744" t="s">
        <v>799</v>
      </c>
      <c r="B744" t="s">
        <v>65</v>
      </c>
      <c r="C744" t="s">
        <v>25</v>
      </c>
      <c r="D744" t="s">
        <v>18</v>
      </c>
      <c r="E744">
        <v>25</v>
      </c>
      <c r="F744" t="s">
        <v>74</v>
      </c>
      <c r="G744" t="s">
        <v>35</v>
      </c>
      <c r="H744" t="s">
        <v>21</v>
      </c>
      <c r="I744" s="1">
        <v>44782</v>
      </c>
      <c r="J744" s="1">
        <v>44793</v>
      </c>
      <c r="K744" s="1">
        <v>44798</v>
      </c>
      <c r="L744">
        <v>3</v>
      </c>
      <c r="M744">
        <v>2</v>
      </c>
      <c r="N744" t="s">
        <v>48</v>
      </c>
      <c r="O744">
        <v>1180601</v>
      </c>
      <c r="U744">
        <f>Table1[[#This Row],[Interview_Date]]-Table1[[#This Row],[Application_Date]]</f>
        <v>11</v>
      </c>
      <c r="V744">
        <f>IF(OR(Table1[[#This Row],[Offer_Date]]="",Table1[[#This Row],[Interview_Date]]=""),"",Table1[[#This Row],[Offer_Date]]-Table1[[#This Row],[Interview_Date]])</f>
        <v>5</v>
      </c>
    </row>
    <row r="745" spans="1:22" x14ac:dyDescent="0.3">
      <c r="A745" t="s">
        <v>800</v>
      </c>
      <c r="B745" t="s">
        <v>42</v>
      </c>
      <c r="C745" t="s">
        <v>17</v>
      </c>
      <c r="D745" t="s">
        <v>18</v>
      </c>
      <c r="E745">
        <v>34</v>
      </c>
      <c r="F745" t="s">
        <v>19</v>
      </c>
      <c r="G745" t="s">
        <v>20</v>
      </c>
      <c r="H745" t="s">
        <v>40</v>
      </c>
      <c r="I745" s="1">
        <v>44601</v>
      </c>
      <c r="J745" s="1">
        <v>44608</v>
      </c>
      <c r="K745" s="1">
        <v>44611</v>
      </c>
      <c r="L745">
        <v>2</v>
      </c>
      <c r="M745">
        <v>4</v>
      </c>
      <c r="N745" t="s">
        <v>22</v>
      </c>
      <c r="O745">
        <v>343212</v>
      </c>
      <c r="U745">
        <f>Table1[[#This Row],[Interview_Date]]-Table1[[#This Row],[Application_Date]]</f>
        <v>7</v>
      </c>
      <c r="V745">
        <f>IF(OR(Table1[[#This Row],[Offer_Date]]="",Table1[[#This Row],[Interview_Date]]=""),"",Table1[[#This Row],[Offer_Date]]-Table1[[#This Row],[Interview_Date]])</f>
        <v>3</v>
      </c>
    </row>
    <row r="746" spans="1:22" x14ac:dyDescent="0.3">
      <c r="A746" t="s">
        <v>801</v>
      </c>
      <c r="B746" t="s">
        <v>72</v>
      </c>
      <c r="C746" t="s">
        <v>66</v>
      </c>
      <c r="D746" t="s">
        <v>26</v>
      </c>
      <c r="E746">
        <v>36</v>
      </c>
      <c r="F746" t="s">
        <v>39</v>
      </c>
      <c r="G746" t="s">
        <v>44</v>
      </c>
      <c r="H746" t="s">
        <v>21</v>
      </c>
      <c r="I746" s="1">
        <v>44485</v>
      </c>
      <c r="J746" s="1">
        <v>44489</v>
      </c>
      <c r="L746">
        <v>3</v>
      </c>
      <c r="M746">
        <v>6</v>
      </c>
      <c r="N746" t="s">
        <v>22</v>
      </c>
      <c r="O746">
        <v>353386</v>
      </c>
      <c r="U746">
        <f>Table1[[#This Row],[Interview_Date]]-Table1[[#This Row],[Application_Date]]</f>
        <v>4</v>
      </c>
      <c r="V746" t="str">
        <f>IF(OR(Table1[[#This Row],[Offer_Date]]="",Table1[[#This Row],[Interview_Date]]=""),"",Table1[[#This Row],[Offer_Date]]-Table1[[#This Row],[Interview_Date]])</f>
        <v/>
      </c>
    </row>
    <row r="747" spans="1:22" x14ac:dyDescent="0.3">
      <c r="A747" t="s">
        <v>802</v>
      </c>
      <c r="B747" t="s">
        <v>24</v>
      </c>
      <c r="C747" t="s">
        <v>94</v>
      </c>
      <c r="D747" t="s">
        <v>18</v>
      </c>
      <c r="E747">
        <v>38</v>
      </c>
      <c r="F747" t="s">
        <v>39</v>
      </c>
      <c r="G747" t="s">
        <v>20</v>
      </c>
      <c r="H747" t="s">
        <v>54</v>
      </c>
      <c r="I747" s="1">
        <v>44462</v>
      </c>
      <c r="J747" s="1">
        <v>44477</v>
      </c>
      <c r="K747" s="1">
        <v>44482</v>
      </c>
      <c r="L747">
        <v>1</v>
      </c>
      <c r="M747">
        <v>3</v>
      </c>
      <c r="N747" t="s">
        <v>22</v>
      </c>
      <c r="O747">
        <v>683891</v>
      </c>
      <c r="U747">
        <f>Table1[[#This Row],[Interview_Date]]-Table1[[#This Row],[Application_Date]]</f>
        <v>15</v>
      </c>
      <c r="V747">
        <f>IF(OR(Table1[[#This Row],[Offer_Date]]="",Table1[[#This Row],[Interview_Date]]=""),"",Table1[[#This Row],[Offer_Date]]-Table1[[#This Row],[Interview_Date]])</f>
        <v>5</v>
      </c>
    </row>
    <row r="748" spans="1:22" x14ac:dyDescent="0.3">
      <c r="A748" t="s">
        <v>803</v>
      </c>
      <c r="B748" t="s">
        <v>38</v>
      </c>
      <c r="C748" t="s">
        <v>69</v>
      </c>
      <c r="D748" t="s">
        <v>26</v>
      </c>
      <c r="E748">
        <v>26</v>
      </c>
      <c r="F748" t="s">
        <v>31</v>
      </c>
      <c r="G748" t="s">
        <v>35</v>
      </c>
      <c r="H748" t="s">
        <v>51</v>
      </c>
      <c r="I748" s="1">
        <v>44860</v>
      </c>
      <c r="J748" s="1">
        <v>44872</v>
      </c>
      <c r="K748" s="1">
        <v>44877</v>
      </c>
      <c r="L748">
        <v>5</v>
      </c>
      <c r="M748">
        <v>5</v>
      </c>
      <c r="N748" t="s">
        <v>28</v>
      </c>
      <c r="O748">
        <v>753811</v>
      </c>
      <c r="U748">
        <f>Table1[[#This Row],[Interview_Date]]-Table1[[#This Row],[Application_Date]]</f>
        <v>12</v>
      </c>
      <c r="V748">
        <f>IF(OR(Table1[[#This Row],[Offer_Date]]="",Table1[[#This Row],[Interview_Date]]=""),"",Table1[[#This Row],[Offer_Date]]-Table1[[#This Row],[Interview_Date]])</f>
        <v>5</v>
      </c>
    </row>
    <row r="749" spans="1:22" x14ac:dyDescent="0.3">
      <c r="A749" t="s">
        <v>804</v>
      </c>
      <c r="B749" t="s">
        <v>63</v>
      </c>
      <c r="C749" t="s">
        <v>66</v>
      </c>
      <c r="D749" t="s">
        <v>26</v>
      </c>
      <c r="E749">
        <v>29</v>
      </c>
      <c r="F749" t="s">
        <v>39</v>
      </c>
      <c r="G749" t="s">
        <v>44</v>
      </c>
      <c r="H749" t="s">
        <v>40</v>
      </c>
      <c r="I749" s="1">
        <v>44426</v>
      </c>
      <c r="J749" s="1">
        <v>44438</v>
      </c>
      <c r="K749" s="1">
        <v>44440</v>
      </c>
      <c r="L749">
        <v>5</v>
      </c>
      <c r="M749">
        <v>9</v>
      </c>
      <c r="N749" t="s">
        <v>22</v>
      </c>
      <c r="O749">
        <v>543360</v>
      </c>
      <c r="U749">
        <f>Table1[[#This Row],[Interview_Date]]-Table1[[#This Row],[Application_Date]]</f>
        <v>12</v>
      </c>
      <c r="V749">
        <f>IF(OR(Table1[[#This Row],[Offer_Date]]="",Table1[[#This Row],[Interview_Date]]=""),"",Table1[[#This Row],[Offer_Date]]-Table1[[#This Row],[Interview_Date]])</f>
        <v>2</v>
      </c>
    </row>
    <row r="750" spans="1:22" x14ac:dyDescent="0.3">
      <c r="A750" t="s">
        <v>805</v>
      </c>
      <c r="B750" t="s">
        <v>65</v>
      </c>
      <c r="C750" t="s">
        <v>50</v>
      </c>
      <c r="D750" t="s">
        <v>26</v>
      </c>
      <c r="E750">
        <v>45</v>
      </c>
      <c r="F750" t="s">
        <v>34</v>
      </c>
      <c r="G750" t="s">
        <v>44</v>
      </c>
      <c r="H750" t="s">
        <v>54</v>
      </c>
      <c r="I750" s="1">
        <v>44469</v>
      </c>
      <c r="J750" s="1">
        <v>44475</v>
      </c>
      <c r="L750">
        <v>4</v>
      </c>
      <c r="M750">
        <v>6</v>
      </c>
      <c r="N750" t="s">
        <v>45</v>
      </c>
      <c r="O750">
        <v>906077</v>
      </c>
      <c r="U750">
        <f>Table1[[#This Row],[Interview_Date]]-Table1[[#This Row],[Application_Date]]</f>
        <v>6</v>
      </c>
      <c r="V750" t="str">
        <f>IF(OR(Table1[[#This Row],[Offer_Date]]="",Table1[[#This Row],[Interview_Date]]=""),"",Table1[[#This Row],[Offer_Date]]-Table1[[#This Row],[Interview_Date]])</f>
        <v/>
      </c>
    </row>
    <row r="751" spans="1:22" x14ac:dyDescent="0.3">
      <c r="A751" t="s">
        <v>806</v>
      </c>
      <c r="B751" t="s">
        <v>58</v>
      </c>
      <c r="C751" t="s">
        <v>25</v>
      </c>
      <c r="D751" t="s">
        <v>26</v>
      </c>
      <c r="E751">
        <v>31</v>
      </c>
      <c r="F751" t="s">
        <v>74</v>
      </c>
      <c r="G751" t="s">
        <v>44</v>
      </c>
      <c r="H751" t="s">
        <v>21</v>
      </c>
      <c r="I751" s="1">
        <v>44758</v>
      </c>
      <c r="J751" s="1">
        <v>44769</v>
      </c>
      <c r="L751">
        <v>3</v>
      </c>
      <c r="M751">
        <v>9</v>
      </c>
      <c r="N751" t="s">
        <v>48</v>
      </c>
      <c r="O751">
        <v>1025772</v>
      </c>
      <c r="U751">
        <f>Table1[[#This Row],[Interview_Date]]-Table1[[#This Row],[Application_Date]]</f>
        <v>11</v>
      </c>
      <c r="V751" t="str">
        <f>IF(OR(Table1[[#This Row],[Offer_Date]]="",Table1[[#This Row],[Interview_Date]]=""),"",Table1[[#This Row],[Offer_Date]]-Table1[[#This Row],[Interview_Date]])</f>
        <v/>
      </c>
    </row>
    <row r="752" spans="1:22" x14ac:dyDescent="0.3">
      <c r="A752" t="s">
        <v>807</v>
      </c>
      <c r="B752" t="s">
        <v>63</v>
      </c>
      <c r="C752" t="s">
        <v>25</v>
      </c>
      <c r="D752" t="s">
        <v>26</v>
      </c>
      <c r="E752">
        <v>28</v>
      </c>
      <c r="F752" t="s">
        <v>34</v>
      </c>
      <c r="G752" t="s">
        <v>20</v>
      </c>
      <c r="H752" t="s">
        <v>40</v>
      </c>
      <c r="I752" s="1">
        <v>44854</v>
      </c>
      <c r="J752" s="1">
        <v>44858</v>
      </c>
      <c r="L752">
        <v>4</v>
      </c>
      <c r="M752">
        <v>4</v>
      </c>
      <c r="N752" t="s">
        <v>45</v>
      </c>
      <c r="O752">
        <v>821181</v>
      </c>
      <c r="U752">
        <f>Table1[[#This Row],[Interview_Date]]-Table1[[#This Row],[Application_Date]]</f>
        <v>4</v>
      </c>
      <c r="V752" t="str">
        <f>IF(OR(Table1[[#This Row],[Offer_Date]]="",Table1[[#This Row],[Interview_Date]]=""),"",Table1[[#This Row],[Offer_Date]]-Table1[[#This Row],[Interview_Date]])</f>
        <v/>
      </c>
    </row>
    <row r="753" spans="1:22" x14ac:dyDescent="0.3">
      <c r="A753" t="s">
        <v>808</v>
      </c>
      <c r="B753" t="s">
        <v>65</v>
      </c>
      <c r="C753" t="s">
        <v>43</v>
      </c>
      <c r="D753" t="s">
        <v>18</v>
      </c>
      <c r="E753">
        <v>21</v>
      </c>
      <c r="F753" t="s">
        <v>31</v>
      </c>
      <c r="G753" t="s">
        <v>60</v>
      </c>
      <c r="H753" t="s">
        <v>40</v>
      </c>
      <c r="I753" s="1">
        <v>44898</v>
      </c>
      <c r="J753" s="1">
        <v>44901</v>
      </c>
      <c r="K753" s="1">
        <v>44905</v>
      </c>
      <c r="L753">
        <v>4</v>
      </c>
      <c r="M753">
        <v>8</v>
      </c>
      <c r="N753" t="s">
        <v>48</v>
      </c>
      <c r="O753">
        <v>816076</v>
      </c>
      <c r="U753">
        <f>Table1[[#This Row],[Interview_Date]]-Table1[[#This Row],[Application_Date]]</f>
        <v>3</v>
      </c>
      <c r="V753">
        <f>IF(OR(Table1[[#This Row],[Offer_Date]]="",Table1[[#This Row],[Interview_Date]]=""),"",Table1[[#This Row],[Offer_Date]]-Table1[[#This Row],[Interview_Date]])</f>
        <v>4</v>
      </c>
    </row>
    <row r="754" spans="1:22" x14ac:dyDescent="0.3">
      <c r="A754" t="s">
        <v>809</v>
      </c>
      <c r="B754" t="s">
        <v>42</v>
      </c>
      <c r="C754" t="s">
        <v>59</v>
      </c>
      <c r="D754" t="s">
        <v>26</v>
      </c>
      <c r="E754">
        <v>35</v>
      </c>
      <c r="F754" t="s">
        <v>31</v>
      </c>
      <c r="G754" t="s">
        <v>35</v>
      </c>
      <c r="H754" t="s">
        <v>54</v>
      </c>
      <c r="I754" s="1">
        <v>44724</v>
      </c>
      <c r="J754" s="1">
        <v>44727</v>
      </c>
      <c r="K754" s="1">
        <v>44733</v>
      </c>
      <c r="L754">
        <v>4</v>
      </c>
      <c r="M754">
        <v>10</v>
      </c>
      <c r="N754" t="s">
        <v>28</v>
      </c>
      <c r="O754">
        <v>1141292</v>
      </c>
      <c r="U754">
        <f>Table1[[#This Row],[Interview_Date]]-Table1[[#This Row],[Application_Date]]</f>
        <v>3</v>
      </c>
      <c r="V754">
        <f>IF(OR(Table1[[#This Row],[Offer_Date]]="",Table1[[#This Row],[Interview_Date]]=""),"",Table1[[#This Row],[Offer_Date]]-Table1[[#This Row],[Interview_Date]])</f>
        <v>6</v>
      </c>
    </row>
    <row r="755" spans="1:22" x14ac:dyDescent="0.3">
      <c r="A755" t="s">
        <v>810</v>
      </c>
      <c r="B755" t="s">
        <v>63</v>
      </c>
      <c r="C755" t="s">
        <v>25</v>
      </c>
      <c r="D755" t="s">
        <v>26</v>
      </c>
      <c r="E755">
        <v>37</v>
      </c>
      <c r="F755" t="s">
        <v>19</v>
      </c>
      <c r="G755" t="s">
        <v>27</v>
      </c>
      <c r="H755" t="s">
        <v>21</v>
      </c>
      <c r="I755" s="1">
        <v>45383</v>
      </c>
      <c r="J755" s="1">
        <v>45388</v>
      </c>
      <c r="K755" s="1">
        <v>45392</v>
      </c>
      <c r="L755">
        <v>3</v>
      </c>
      <c r="M755">
        <v>4</v>
      </c>
      <c r="N755" t="s">
        <v>45</v>
      </c>
      <c r="O755">
        <v>1004565</v>
      </c>
      <c r="U755">
        <f>Table1[[#This Row],[Interview_Date]]-Table1[[#This Row],[Application_Date]]</f>
        <v>5</v>
      </c>
      <c r="V755">
        <f>IF(OR(Table1[[#This Row],[Offer_Date]]="",Table1[[#This Row],[Interview_Date]]=""),"",Table1[[#This Row],[Offer_Date]]-Table1[[#This Row],[Interview_Date]])</f>
        <v>4</v>
      </c>
    </row>
    <row r="756" spans="1:22" x14ac:dyDescent="0.3">
      <c r="A756" t="s">
        <v>811</v>
      </c>
      <c r="B756" t="s">
        <v>16</v>
      </c>
      <c r="C756" t="s">
        <v>43</v>
      </c>
      <c r="D756" t="s">
        <v>18</v>
      </c>
      <c r="E756">
        <v>39</v>
      </c>
      <c r="F756" t="s">
        <v>39</v>
      </c>
      <c r="G756" t="s">
        <v>35</v>
      </c>
      <c r="H756" t="s">
        <v>40</v>
      </c>
      <c r="I756" s="1">
        <v>44651</v>
      </c>
      <c r="J756" s="1">
        <v>44663</v>
      </c>
      <c r="L756">
        <v>3</v>
      </c>
      <c r="M756">
        <v>5</v>
      </c>
      <c r="N756" t="s">
        <v>28</v>
      </c>
      <c r="O756">
        <v>366370</v>
      </c>
      <c r="U756">
        <f>Table1[[#This Row],[Interview_Date]]-Table1[[#This Row],[Application_Date]]</f>
        <v>12</v>
      </c>
      <c r="V756" t="str">
        <f>IF(OR(Table1[[#This Row],[Offer_Date]]="",Table1[[#This Row],[Interview_Date]]=""),"",Table1[[#This Row],[Offer_Date]]-Table1[[#This Row],[Interview_Date]])</f>
        <v/>
      </c>
    </row>
    <row r="757" spans="1:22" x14ac:dyDescent="0.3">
      <c r="A757" t="s">
        <v>812</v>
      </c>
      <c r="B757" t="s">
        <v>58</v>
      </c>
      <c r="C757" t="s">
        <v>53</v>
      </c>
      <c r="D757" t="s">
        <v>26</v>
      </c>
      <c r="E757">
        <v>40</v>
      </c>
      <c r="F757" t="s">
        <v>19</v>
      </c>
      <c r="G757" t="s">
        <v>35</v>
      </c>
      <c r="H757" t="s">
        <v>54</v>
      </c>
      <c r="I757" s="1">
        <v>44438</v>
      </c>
      <c r="J757" s="1">
        <v>44445</v>
      </c>
      <c r="K757" s="1">
        <v>44448</v>
      </c>
      <c r="L757">
        <v>5</v>
      </c>
      <c r="M757">
        <v>2</v>
      </c>
      <c r="N757" t="s">
        <v>28</v>
      </c>
      <c r="O757">
        <v>1129813</v>
      </c>
      <c r="U757">
        <f>Table1[[#This Row],[Interview_Date]]-Table1[[#This Row],[Application_Date]]</f>
        <v>7</v>
      </c>
      <c r="V757">
        <f>IF(OR(Table1[[#This Row],[Offer_Date]]="",Table1[[#This Row],[Interview_Date]]=""),"",Table1[[#This Row],[Offer_Date]]-Table1[[#This Row],[Interview_Date]])</f>
        <v>3</v>
      </c>
    </row>
    <row r="758" spans="1:22" x14ac:dyDescent="0.3">
      <c r="A758" t="s">
        <v>813</v>
      </c>
      <c r="B758" t="s">
        <v>72</v>
      </c>
      <c r="C758" t="s">
        <v>69</v>
      </c>
      <c r="D758" t="s">
        <v>18</v>
      </c>
      <c r="E758">
        <v>42</v>
      </c>
      <c r="F758" t="s">
        <v>34</v>
      </c>
      <c r="G758" t="s">
        <v>20</v>
      </c>
      <c r="H758" t="s">
        <v>51</v>
      </c>
      <c r="I758" s="1">
        <v>44787</v>
      </c>
      <c r="J758" s="1">
        <v>44790</v>
      </c>
      <c r="K758" s="1">
        <v>44795</v>
      </c>
      <c r="L758">
        <v>5</v>
      </c>
      <c r="M758">
        <v>8</v>
      </c>
      <c r="N758" t="s">
        <v>22</v>
      </c>
      <c r="O758">
        <v>645284</v>
      </c>
      <c r="U758">
        <f>Table1[[#This Row],[Interview_Date]]-Table1[[#This Row],[Application_Date]]</f>
        <v>3</v>
      </c>
      <c r="V758">
        <f>IF(OR(Table1[[#This Row],[Offer_Date]]="",Table1[[#This Row],[Interview_Date]]=""),"",Table1[[#This Row],[Offer_Date]]-Table1[[#This Row],[Interview_Date]])</f>
        <v>5</v>
      </c>
    </row>
    <row r="759" spans="1:22" x14ac:dyDescent="0.3">
      <c r="A759" t="s">
        <v>814</v>
      </c>
      <c r="B759" t="s">
        <v>63</v>
      </c>
      <c r="C759" t="s">
        <v>66</v>
      </c>
      <c r="D759" t="s">
        <v>26</v>
      </c>
      <c r="E759">
        <v>35</v>
      </c>
      <c r="F759" t="s">
        <v>31</v>
      </c>
      <c r="G759" t="s">
        <v>35</v>
      </c>
      <c r="H759" t="s">
        <v>40</v>
      </c>
      <c r="I759" s="1">
        <v>44593</v>
      </c>
      <c r="J759" s="1">
        <v>44608</v>
      </c>
      <c r="K759" s="1">
        <v>44611</v>
      </c>
      <c r="L759">
        <v>4</v>
      </c>
      <c r="M759">
        <v>4</v>
      </c>
      <c r="N759" t="s">
        <v>28</v>
      </c>
      <c r="O759">
        <v>901626</v>
      </c>
      <c r="U759">
        <f>Table1[[#This Row],[Interview_Date]]-Table1[[#This Row],[Application_Date]]</f>
        <v>15</v>
      </c>
      <c r="V759">
        <f>IF(OR(Table1[[#This Row],[Offer_Date]]="",Table1[[#This Row],[Interview_Date]]=""),"",Table1[[#This Row],[Offer_Date]]-Table1[[#This Row],[Interview_Date]])</f>
        <v>3</v>
      </c>
    </row>
    <row r="760" spans="1:22" x14ac:dyDescent="0.3">
      <c r="A760" t="s">
        <v>815</v>
      </c>
      <c r="B760" t="s">
        <v>63</v>
      </c>
      <c r="C760" t="s">
        <v>17</v>
      </c>
      <c r="D760" t="s">
        <v>26</v>
      </c>
      <c r="E760">
        <v>42</v>
      </c>
      <c r="F760" t="s">
        <v>74</v>
      </c>
      <c r="G760" t="s">
        <v>44</v>
      </c>
      <c r="H760" t="s">
        <v>54</v>
      </c>
      <c r="I760" s="1">
        <v>44596</v>
      </c>
      <c r="J760" s="1">
        <v>44607</v>
      </c>
      <c r="L760">
        <v>2</v>
      </c>
      <c r="M760">
        <v>10</v>
      </c>
      <c r="N760" t="s">
        <v>22</v>
      </c>
      <c r="O760">
        <v>749944</v>
      </c>
      <c r="U760">
        <f>Table1[[#This Row],[Interview_Date]]-Table1[[#This Row],[Application_Date]]</f>
        <v>11</v>
      </c>
      <c r="V760" t="str">
        <f>IF(OR(Table1[[#This Row],[Offer_Date]]="",Table1[[#This Row],[Interview_Date]]=""),"",Table1[[#This Row],[Offer_Date]]-Table1[[#This Row],[Interview_Date]])</f>
        <v/>
      </c>
    </row>
    <row r="761" spans="1:22" x14ac:dyDescent="0.3">
      <c r="A761" t="s">
        <v>816</v>
      </c>
      <c r="B761" t="s">
        <v>63</v>
      </c>
      <c r="C761" t="s">
        <v>43</v>
      </c>
      <c r="D761" t="s">
        <v>18</v>
      </c>
      <c r="E761">
        <v>31</v>
      </c>
      <c r="F761" t="s">
        <v>39</v>
      </c>
      <c r="G761" t="s">
        <v>44</v>
      </c>
      <c r="H761" t="s">
        <v>54</v>
      </c>
      <c r="I761" s="1">
        <v>44444</v>
      </c>
      <c r="J761" s="1">
        <v>44455</v>
      </c>
      <c r="K761" s="1">
        <v>44460</v>
      </c>
      <c r="L761">
        <v>3</v>
      </c>
      <c r="M761">
        <v>9</v>
      </c>
      <c r="N761" t="s">
        <v>28</v>
      </c>
      <c r="O761">
        <v>571236</v>
      </c>
      <c r="U761">
        <f>Table1[[#This Row],[Interview_Date]]-Table1[[#This Row],[Application_Date]]</f>
        <v>11</v>
      </c>
      <c r="V761">
        <f>IF(OR(Table1[[#This Row],[Offer_Date]]="",Table1[[#This Row],[Interview_Date]]=""),"",Table1[[#This Row],[Offer_Date]]-Table1[[#This Row],[Interview_Date]])</f>
        <v>5</v>
      </c>
    </row>
    <row r="762" spans="1:22" x14ac:dyDescent="0.3">
      <c r="A762" t="s">
        <v>817</v>
      </c>
      <c r="B762" t="s">
        <v>72</v>
      </c>
      <c r="C762" t="s">
        <v>69</v>
      </c>
      <c r="D762" t="s">
        <v>18</v>
      </c>
      <c r="E762">
        <v>36</v>
      </c>
      <c r="F762" t="s">
        <v>34</v>
      </c>
      <c r="G762" t="s">
        <v>35</v>
      </c>
      <c r="H762" t="s">
        <v>54</v>
      </c>
      <c r="I762" s="1">
        <v>44240</v>
      </c>
      <c r="J762" s="1">
        <v>44250</v>
      </c>
      <c r="L762">
        <v>4</v>
      </c>
      <c r="M762">
        <v>7</v>
      </c>
      <c r="N762" t="s">
        <v>28</v>
      </c>
      <c r="O762">
        <v>457584</v>
      </c>
      <c r="U762">
        <f>Table1[[#This Row],[Interview_Date]]-Table1[[#This Row],[Application_Date]]</f>
        <v>10</v>
      </c>
      <c r="V762" t="str">
        <f>IF(OR(Table1[[#This Row],[Offer_Date]]="",Table1[[#This Row],[Interview_Date]]=""),"",Table1[[#This Row],[Offer_Date]]-Table1[[#This Row],[Interview_Date]])</f>
        <v/>
      </c>
    </row>
    <row r="763" spans="1:22" x14ac:dyDescent="0.3">
      <c r="A763" t="s">
        <v>818</v>
      </c>
      <c r="B763" t="s">
        <v>38</v>
      </c>
      <c r="C763" t="s">
        <v>53</v>
      </c>
      <c r="D763" t="s">
        <v>26</v>
      </c>
      <c r="E763">
        <v>26</v>
      </c>
      <c r="F763" t="s">
        <v>19</v>
      </c>
      <c r="G763" t="s">
        <v>27</v>
      </c>
      <c r="H763" t="s">
        <v>21</v>
      </c>
      <c r="I763" s="1">
        <v>44693</v>
      </c>
      <c r="J763" s="1">
        <v>44702</v>
      </c>
      <c r="K763" s="1">
        <v>44707</v>
      </c>
      <c r="L763">
        <v>4</v>
      </c>
      <c r="M763">
        <v>10</v>
      </c>
      <c r="N763" t="s">
        <v>45</v>
      </c>
      <c r="O763">
        <v>774171</v>
      </c>
      <c r="U763">
        <f>Table1[[#This Row],[Interview_Date]]-Table1[[#This Row],[Application_Date]]</f>
        <v>9</v>
      </c>
      <c r="V763">
        <f>IF(OR(Table1[[#This Row],[Offer_Date]]="",Table1[[#This Row],[Interview_Date]]=""),"",Table1[[#This Row],[Offer_Date]]-Table1[[#This Row],[Interview_Date]])</f>
        <v>5</v>
      </c>
    </row>
    <row r="764" spans="1:22" x14ac:dyDescent="0.3">
      <c r="A764" t="s">
        <v>819</v>
      </c>
      <c r="B764" t="s">
        <v>65</v>
      </c>
      <c r="C764" t="s">
        <v>94</v>
      </c>
      <c r="D764" t="s">
        <v>18</v>
      </c>
      <c r="E764">
        <v>32</v>
      </c>
      <c r="F764" t="s">
        <v>31</v>
      </c>
      <c r="G764" t="s">
        <v>60</v>
      </c>
      <c r="H764" t="s">
        <v>51</v>
      </c>
      <c r="I764" s="1">
        <v>44501</v>
      </c>
      <c r="J764" s="1">
        <v>44510</v>
      </c>
      <c r="K764" s="1">
        <v>44517</v>
      </c>
      <c r="L764">
        <v>3</v>
      </c>
      <c r="M764">
        <v>7</v>
      </c>
      <c r="N764" t="s">
        <v>48</v>
      </c>
      <c r="O764">
        <v>556525</v>
      </c>
      <c r="U764">
        <f>Table1[[#This Row],[Interview_Date]]-Table1[[#This Row],[Application_Date]]</f>
        <v>9</v>
      </c>
      <c r="V764">
        <f>IF(OR(Table1[[#This Row],[Offer_Date]]="",Table1[[#This Row],[Interview_Date]]=""),"",Table1[[#This Row],[Offer_Date]]-Table1[[#This Row],[Interview_Date]])</f>
        <v>7</v>
      </c>
    </row>
    <row r="765" spans="1:22" x14ac:dyDescent="0.3">
      <c r="A765" t="s">
        <v>820</v>
      </c>
      <c r="B765" t="s">
        <v>24</v>
      </c>
      <c r="C765" t="s">
        <v>66</v>
      </c>
      <c r="D765" t="s">
        <v>26</v>
      </c>
      <c r="E765">
        <v>36</v>
      </c>
      <c r="F765" t="s">
        <v>56</v>
      </c>
      <c r="G765" t="s">
        <v>27</v>
      </c>
      <c r="H765" t="s">
        <v>36</v>
      </c>
      <c r="I765" s="1">
        <v>45341</v>
      </c>
      <c r="J765" s="1">
        <v>45354</v>
      </c>
      <c r="L765">
        <v>3</v>
      </c>
      <c r="M765">
        <v>8</v>
      </c>
      <c r="N765" t="s">
        <v>28</v>
      </c>
      <c r="O765">
        <v>1197616</v>
      </c>
      <c r="U765">
        <f>Table1[[#This Row],[Interview_Date]]-Table1[[#This Row],[Application_Date]]</f>
        <v>13</v>
      </c>
      <c r="V765" t="str">
        <f>IF(OR(Table1[[#This Row],[Offer_Date]]="",Table1[[#This Row],[Interview_Date]]=""),"",Table1[[#This Row],[Offer_Date]]-Table1[[#This Row],[Interview_Date]])</f>
        <v/>
      </c>
    </row>
    <row r="766" spans="1:22" x14ac:dyDescent="0.3">
      <c r="A766" t="s">
        <v>821</v>
      </c>
      <c r="B766" t="s">
        <v>38</v>
      </c>
      <c r="C766" t="s">
        <v>94</v>
      </c>
      <c r="D766" t="s">
        <v>26</v>
      </c>
      <c r="E766">
        <v>27</v>
      </c>
      <c r="F766" t="s">
        <v>31</v>
      </c>
      <c r="G766" t="s">
        <v>60</v>
      </c>
      <c r="H766" t="s">
        <v>21</v>
      </c>
      <c r="I766" s="1">
        <v>45294</v>
      </c>
      <c r="J766" s="1">
        <v>45304</v>
      </c>
      <c r="K766" s="1">
        <v>45307</v>
      </c>
      <c r="L766">
        <v>1</v>
      </c>
      <c r="M766">
        <v>2</v>
      </c>
      <c r="N766" t="s">
        <v>22</v>
      </c>
      <c r="O766">
        <v>623453</v>
      </c>
      <c r="U766">
        <f>Table1[[#This Row],[Interview_Date]]-Table1[[#This Row],[Application_Date]]</f>
        <v>10</v>
      </c>
      <c r="V766">
        <f>IF(OR(Table1[[#This Row],[Offer_Date]]="",Table1[[#This Row],[Interview_Date]]=""),"",Table1[[#This Row],[Offer_Date]]-Table1[[#This Row],[Interview_Date]])</f>
        <v>3</v>
      </c>
    </row>
    <row r="767" spans="1:22" x14ac:dyDescent="0.3">
      <c r="A767" t="s">
        <v>822</v>
      </c>
      <c r="B767" t="s">
        <v>58</v>
      </c>
      <c r="C767" t="s">
        <v>94</v>
      </c>
      <c r="D767" t="s">
        <v>18</v>
      </c>
      <c r="E767">
        <v>45</v>
      </c>
      <c r="F767" t="s">
        <v>74</v>
      </c>
      <c r="G767" t="s">
        <v>27</v>
      </c>
      <c r="H767" t="s">
        <v>51</v>
      </c>
      <c r="I767" s="1">
        <v>45328</v>
      </c>
      <c r="J767" s="1">
        <v>45332</v>
      </c>
      <c r="K767" s="1">
        <v>45339</v>
      </c>
      <c r="L767">
        <v>3</v>
      </c>
      <c r="M767">
        <v>9</v>
      </c>
      <c r="N767" t="s">
        <v>28</v>
      </c>
      <c r="O767">
        <v>1172694</v>
      </c>
      <c r="U767">
        <f>Table1[[#This Row],[Interview_Date]]-Table1[[#This Row],[Application_Date]]</f>
        <v>4</v>
      </c>
      <c r="V767">
        <f>IF(OR(Table1[[#This Row],[Offer_Date]]="",Table1[[#This Row],[Interview_Date]]=""),"",Table1[[#This Row],[Offer_Date]]-Table1[[#This Row],[Interview_Date]])</f>
        <v>7</v>
      </c>
    </row>
    <row r="768" spans="1:22" x14ac:dyDescent="0.3">
      <c r="A768" t="s">
        <v>823</v>
      </c>
      <c r="B768" t="s">
        <v>63</v>
      </c>
      <c r="C768" t="s">
        <v>43</v>
      </c>
      <c r="D768" t="s">
        <v>18</v>
      </c>
      <c r="E768">
        <v>41</v>
      </c>
      <c r="F768" t="s">
        <v>39</v>
      </c>
      <c r="G768" t="s">
        <v>27</v>
      </c>
      <c r="H768" t="s">
        <v>54</v>
      </c>
      <c r="I768" s="1">
        <v>44943</v>
      </c>
      <c r="J768" s="1">
        <v>44958</v>
      </c>
      <c r="L768">
        <v>2</v>
      </c>
      <c r="M768">
        <v>4</v>
      </c>
      <c r="N768" t="s">
        <v>45</v>
      </c>
      <c r="O768">
        <v>331562</v>
      </c>
      <c r="U768">
        <f>Table1[[#This Row],[Interview_Date]]-Table1[[#This Row],[Application_Date]]</f>
        <v>15</v>
      </c>
      <c r="V768" t="str">
        <f>IF(OR(Table1[[#This Row],[Offer_Date]]="",Table1[[#This Row],[Interview_Date]]=""),"",Table1[[#This Row],[Offer_Date]]-Table1[[#This Row],[Interview_Date]])</f>
        <v/>
      </c>
    </row>
    <row r="769" spans="1:22" x14ac:dyDescent="0.3">
      <c r="A769" t="s">
        <v>824</v>
      </c>
      <c r="B769" t="s">
        <v>16</v>
      </c>
      <c r="C769" t="s">
        <v>53</v>
      </c>
      <c r="D769" t="s">
        <v>26</v>
      </c>
      <c r="E769">
        <v>22</v>
      </c>
      <c r="F769" t="s">
        <v>39</v>
      </c>
      <c r="G769" t="s">
        <v>20</v>
      </c>
      <c r="H769" t="s">
        <v>21</v>
      </c>
      <c r="I769" s="1">
        <v>44712</v>
      </c>
      <c r="J769" s="1">
        <v>44719</v>
      </c>
      <c r="K769" s="1">
        <v>44726</v>
      </c>
      <c r="L769">
        <v>1</v>
      </c>
      <c r="M769">
        <v>10</v>
      </c>
      <c r="N769" t="s">
        <v>45</v>
      </c>
      <c r="O769">
        <v>396674</v>
      </c>
      <c r="U769">
        <f>Table1[[#This Row],[Interview_Date]]-Table1[[#This Row],[Application_Date]]</f>
        <v>7</v>
      </c>
      <c r="V769">
        <f>IF(OR(Table1[[#This Row],[Offer_Date]]="",Table1[[#This Row],[Interview_Date]]=""),"",Table1[[#This Row],[Offer_Date]]-Table1[[#This Row],[Interview_Date]])</f>
        <v>7</v>
      </c>
    </row>
    <row r="770" spans="1:22" x14ac:dyDescent="0.3">
      <c r="A770" t="s">
        <v>825</v>
      </c>
      <c r="B770" t="s">
        <v>63</v>
      </c>
      <c r="C770" t="s">
        <v>50</v>
      </c>
      <c r="D770" t="s">
        <v>18</v>
      </c>
      <c r="E770">
        <v>44</v>
      </c>
      <c r="F770" t="s">
        <v>56</v>
      </c>
      <c r="G770" t="s">
        <v>27</v>
      </c>
      <c r="H770" t="s">
        <v>21</v>
      </c>
      <c r="I770" s="1">
        <v>44341</v>
      </c>
      <c r="J770" s="1">
        <v>44344</v>
      </c>
      <c r="L770">
        <v>3</v>
      </c>
      <c r="M770">
        <v>9</v>
      </c>
      <c r="N770" t="s">
        <v>22</v>
      </c>
      <c r="O770">
        <v>818274</v>
      </c>
      <c r="U770">
        <f>Table1[[#This Row],[Interview_Date]]-Table1[[#This Row],[Application_Date]]</f>
        <v>3</v>
      </c>
      <c r="V770" t="str">
        <f>IF(OR(Table1[[#This Row],[Offer_Date]]="",Table1[[#This Row],[Interview_Date]]=""),"",Table1[[#This Row],[Offer_Date]]-Table1[[#This Row],[Interview_Date]])</f>
        <v/>
      </c>
    </row>
    <row r="771" spans="1:22" x14ac:dyDescent="0.3">
      <c r="A771" t="s">
        <v>826</v>
      </c>
      <c r="B771" t="s">
        <v>72</v>
      </c>
      <c r="C771" t="s">
        <v>59</v>
      </c>
      <c r="D771" t="s">
        <v>26</v>
      </c>
      <c r="E771">
        <v>32</v>
      </c>
      <c r="F771" t="s">
        <v>34</v>
      </c>
      <c r="G771" t="s">
        <v>60</v>
      </c>
      <c r="H771" t="s">
        <v>36</v>
      </c>
      <c r="I771" s="1">
        <v>44470</v>
      </c>
      <c r="J771" s="1">
        <v>44477</v>
      </c>
      <c r="L771">
        <v>5</v>
      </c>
      <c r="M771">
        <v>10</v>
      </c>
      <c r="N771" t="s">
        <v>48</v>
      </c>
      <c r="O771">
        <v>766537</v>
      </c>
      <c r="U771">
        <f>Table1[[#This Row],[Interview_Date]]-Table1[[#This Row],[Application_Date]]</f>
        <v>7</v>
      </c>
      <c r="V771" t="str">
        <f>IF(OR(Table1[[#This Row],[Offer_Date]]="",Table1[[#This Row],[Interview_Date]]=""),"",Table1[[#This Row],[Offer_Date]]-Table1[[#This Row],[Interview_Date]])</f>
        <v/>
      </c>
    </row>
    <row r="772" spans="1:22" x14ac:dyDescent="0.3">
      <c r="A772" t="s">
        <v>827</v>
      </c>
      <c r="B772" t="s">
        <v>42</v>
      </c>
      <c r="C772" t="s">
        <v>50</v>
      </c>
      <c r="D772" t="s">
        <v>18</v>
      </c>
      <c r="E772">
        <v>32</v>
      </c>
      <c r="F772" t="s">
        <v>39</v>
      </c>
      <c r="G772" t="s">
        <v>27</v>
      </c>
      <c r="H772" t="s">
        <v>54</v>
      </c>
      <c r="I772" s="1">
        <v>44643</v>
      </c>
      <c r="J772" s="1">
        <v>44656</v>
      </c>
      <c r="K772" s="1">
        <v>44660</v>
      </c>
      <c r="L772">
        <v>2</v>
      </c>
      <c r="M772">
        <v>4</v>
      </c>
      <c r="N772" t="s">
        <v>45</v>
      </c>
      <c r="O772">
        <v>1107760</v>
      </c>
      <c r="U772">
        <f>Table1[[#This Row],[Interview_Date]]-Table1[[#This Row],[Application_Date]]</f>
        <v>13</v>
      </c>
      <c r="V772">
        <f>IF(OR(Table1[[#This Row],[Offer_Date]]="",Table1[[#This Row],[Interview_Date]]=""),"",Table1[[#This Row],[Offer_Date]]-Table1[[#This Row],[Interview_Date]])</f>
        <v>4</v>
      </c>
    </row>
    <row r="773" spans="1:22" x14ac:dyDescent="0.3">
      <c r="A773" t="s">
        <v>828</v>
      </c>
      <c r="B773" t="s">
        <v>24</v>
      </c>
      <c r="C773" t="s">
        <v>66</v>
      </c>
      <c r="D773" t="s">
        <v>18</v>
      </c>
      <c r="E773">
        <v>34</v>
      </c>
      <c r="F773" t="s">
        <v>39</v>
      </c>
      <c r="G773" t="s">
        <v>60</v>
      </c>
      <c r="H773" t="s">
        <v>54</v>
      </c>
      <c r="I773" s="1">
        <v>44491</v>
      </c>
      <c r="J773" s="1">
        <v>44495</v>
      </c>
      <c r="K773" s="1">
        <v>44500</v>
      </c>
      <c r="L773">
        <v>4</v>
      </c>
      <c r="M773">
        <v>10</v>
      </c>
      <c r="N773" t="s">
        <v>45</v>
      </c>
      <c r="O773">
        <v>551945</v>
      </c>
      <c r="U773">
        <f>Table1[[#This Row],[Interview_Date]]-Table1[[#This Row],[Application_Date]]</f>
        <v>4</v>
      </c>
      <c r="V773">
        <f>IF(OR(Table1[[#This Row],[Offer_Date]]="",Table1[[#This Row],[Interview_Date]]=""),"",Table1[[#This Row],[Offer_Date]]-Table1[[#This Row],[Interview_Date]])</f>
        <v>5</v>
      </c>
    </row>
    <row r="774" spans="1:22" x14ac:dyDescent="0.3">
      <c r="A774" t="s">
        <v>829</v>
      </c>
      <c r="B774" t="s">
        <v>65</v>
      </c>
      <c r="C774" t="s">
        <v>94</v>
      </c>
      <c r="D774" t="s">
        <v>26</v>
      </c>
      <c r="E774">
        <v>27</v>
      </c>
      <c r="F774" t="s">
        <v>31</v>
      </c>
      <c r="G774" t="s">
        <v>27</v>
      </c>
      <c r="H774" t="s">
        <v>21</v>
      </c>
      <c r="I774" s="1">
        <v>44908</v>
      </c>
      <c r="J774" s="1">
        <v>44918</v>
      </c>
      <c r="K774" s="1">
        <v>44921</v>
      </c>
      <c r="L774">
        <v>5</v>
      </c>
      <c r="M774">
        <v>7</v>
      </c>
      <c r="N774" t="s">
        <v>28</v>
      </c>
      <c r="O774">
        <v>474071</v>
      </c>
      <c r="U774">
        <f>Table1[[#This Row],[Interview_Date]]-Table1[[#This Row],[Application_Date]]</f>
        <v>10</v>
      </c>
      <c r="V774">
        <f>IF(OR(Table1[[#This Row],[Offer_Date]]="",Table1[[#This Row],[Interview_Date]]=""),"",Table1[[#This Row],[Offer_Date]]-Table1[[#This Row],[Interview_Date]])</f>
        <v>3</v>
      </c>
    </row>
    <row r="775" spans="1:22" x14ac:dyDescent="0.3">
      <c r="A775" t="s">
        <v>830</v>
      </c>
      <c r="B775" t="s">
        <v>33</v>
      </c>
      <c r="C775" t="s">
        <v>94</v>
      </c>
      <c r="D775" t="s">
        <v>18</v>
      </c>
      <c r="E775">
        <v>30</v>
      </c>
      <c r="F775" t="s">
        <v>31</v>
      </c>
      <c r="G775" t="s">
        <v>44</v>
      </c>
      <c r="H775" t="s">
        <v>40</v>
      </c>
      <c r="I775" s="1">
        <v>44660</v>
      </c>
      <c r="J775" s="1">
        <v>44666</v>
      </c>
      <c r="K775" s="1">
        <v>44669</v>
      </c>
      <c r="L775">
        <v>4</v>
      </c>
      <c r="M775">
        <v>4</v>
      </c>
      <c r="N775" t="s">
        <v>45</v>
      </c>
      <c r="O775">
        <v>687972</v>
      </c>
      <c r="U775">
        <f>Table1[[#This Row],[Interview_Date]]-Table1[[#This Row],[Application_Date]]</f>
        <v>6</v>
      </c>
      <c r="V775">
        <f>IF(OR(Table1[[#This Row],[Offer_Date]]="",Table1[[#This Row],[Interview_Date]]=""),"",Table1[[#This Row],[Offer_Date]]-Table1[[#This Row],[Interview_Date]])</f>
        <v>3</v>
      </c>
    </row>
    <row r="776" spans="1:22" x14ac:dyDescent="0.3">
      <c r="A776" t="s">
        <v>831</v>
      </c>
      <c r="B776" t="s">
        <v>65</v>
      </c>
      <c r="C776" t="s">
        <v>30</v>
      </c>
      <c r="D776" t="s">
        <v>26</v>
      </c>
      <c r="E776">
        <v>32</v>
      </c>
      <c r="F776" t="s">
        <v>34</v>
      </c>
      <c r="G776" t="s">
        <v>60</v>
      </c>
      <c r="H776" t="s">
        <v>40</v>
      </c>
      <c r="I776" s="1">
        <v>44517</v>
      </c>
      <c r="J776" s="1">
        <v>44523</v>
      </c>
      <c r="L776">
        <v>4</v>
      </c>
      <c r="M776">
        <v>8</v>
      </c>
      <c r="N776" t="s">
        <v>22</v>
      </c>
      <c r="O776">
        <v>746578</v>
      </c>
      <c r="U776">
        <f>Table1[[#This Row],[Interview_Date]]-Table1[[#This Row],[Application_Date]]</f>
        <v>6</v>
      </c>
      <c r="V776" t="str">
        <f>IF(OR(Table1[[#This Row],[Offer_Date]]="",Table1[[#This Row],[Interview_Date]]=""),"",Table1[[#This Row],[Offer_Date]]-Table1[[#This Row],[Interview_Date]])</f>
        <v/>
      </c>
    </row>
    <row r="777" spans="1:22" x14ac:dyDescent="0.3">
      <c r="A777" t="s">
        <v>832</v>
      </c>
      <c r="B777" t="s">
        <v>58</v>
      </c>
      <c r="C777" t="s">
        <v>50</v>
      </c>
      <c r="D777" t="s">
        <v>26</v>
      </c>
      <c r="E777">
        <v>45</v>
      </c>
      <c r="F777" t="s">
        <v>56</v>
      </c>
      <c r="G777" t="s">
        <v>27</v>
      </c>
      <c r="H777" t="s">
        <v>51</v>
      </c>
      <c r="I777" s="1">
        <v>44353</v>
      </c>
      <c r="J777" s="1">
        <v>44367</v>
      </c>
      <c r="K777" s="1">
        <v>44374</v>
      </c>
      <c r="L777">
        <v>1</v>
      </c>
      <c r="M777">
        <v>10</v>
      </c>
      <c r="N777" t="s">
        <v>48</v>
      </c>
      <c r="O777">
        <v>644629</v>
      </c>
      <c r="U777">
        <f>Table1[[#This Row],[Interview_Date]]-Table1[[#This Row],[Application_Date]]</f>
        <v>14</v>
      </c>
      <c r="V777">
        <f>IF(OR(Table1[[#This Row],[Offer_Date]]="",Table1[[#This Row],[Interview_Date]]=""),"",Table1[[#This Row],[Offer_Date]]-Table1[[#This Row],[Interview_Date]])</f>
        <v>7</v>
      </c>
    </row>
    <row r="778" spans="1:22" x14ac:dyDescent="0.3">
      <c r="A778" t="s">
        <v>833</v>
      </c>
      <c r="B778" t="s">
        <v>42</v>
      </c>
      <c r="C778" t="s">
        <v>66</v>
      </c>
      <c r="D778" t="s">
        <v>18</v>
      </c>
      <c r="E778">
        <v>24</v>
      </c>
      <c r="F778" t="s">
        <v>31</v>
      </c>
      <c r="G778" t="s">
        <v>20</v>
      </c>
      <c r="H778" t="s">
        <v>21</v>
      </c>
      <c r="I778" s="1">
        <v>45150</v>
      </c>
      <c r="J778" s="1">
        <v>45159</v>
      </c>
      <c r="K778" s="1">
        <v>45161</v>
      </c>
      <c r="L778">
        <v>1</v>
      </c>
      <c r="M778">
        <v>4</v>
      </c>
      <c r="N778" t="s">
        <v>22</v>
      </c>
      <c r="O778">
        <v>1072450</v>
      </c>
      <c r="U778">
        <f>Table1[[#This Row],[Interview_Date]]-Table1[[#This Row],[Application_Date]]</f>
        <v>9</v>
      </c>
      <c r="V778">
        <f>IF(OR(Table1[[#This Row],[Offer_Date]]="",Table1[[#This Row],[Interview_Date]]=""),"",Table1[[#This Row],[Offer_Date]]-Table1[[#This Row],[Interview_Date]])</f>
        <v>2</v>
      </c>
    </row>
    <row r="779" spans="1:22" x14ac:dyDescent="0.3">
      <c r="A779" t="s">
        <v>834</v>
      </c>
      <c r="B779" t="s">
        <v>65</v>
      </c>
      <c r="C779" t="s">
        <v>25</v>
      </c>
      <c r="D779" t="s">
        <v>18</v>
      </c>
      <c r="E779">
        <v>25</v>
      </c>
      <c r="F779" t="s">
        <v>34</v>
      </c>
      <c r="G779" t="s">
        <v>27</v>
      </c>
      <c r="H779" t="s">
        <v>54</v>
      </c>
      <c r="I779" s="1">
        <v>44803</v>
      </c>
      <c r="J779" s="1">
        <v>44817</v>
      </c>
      <c r="K779" s="1">
        <v>44820</v>
      </c>
      <c r="L779">
        <v>1</v>
      </c>
      <c r="M779">
        <v>5</v>
      </c>
      <c r="N779" t="s">
        <v>28</v>
      </c>
      <c r="O779">
        <v>973547</v>
      </c>
      <c r="U779">
        <f>Table1[[#This Row],[Interview_Date]]-Table1[[#This Row],[Application_Date]]</f>
        <v>14</v>
      </c>
      <c r="V779">
        <f>IF(OR(Table1[[#This Row],[Offer_Date]]="",Table1[[#This Row],[Interview_Date]]=""),"",Table1[[#This Row],[Offer_Date]]-Table1[[#This Row],[Interview_Date]])</f>
        <v>3</v>
      </c>
    </row>
    <row r="780" spans="1:22" x14ac:dyDescent="0.3">
      <c r="A780" t="s">
        <v>835</v>
      </c>
      <c r="B780" t="s">
        <v>72</v>
      </c>
      <c r="C780" t="s">
        <v>43</v>
      </c>
      <c r="D780" t="s">
        <v>18</v>
      </c>
      <c r="E780">
        <v>30</v>
      </c>
      <c r="F780" t="s">
        <v>19</v>
      </c>
      <c r="G780" t="s">
        <v>20</v>
      </c>
      <c r="H780" t="s">
        <v>51</v>
      </c>
      <c r="I780" s="1">
        <v>44609</v>
      </c>
      <c r="J780" s="1">
        <v>44620</v>
      </c>
      <c r="L780">
        <v>5</v>
      </c>
      <c r="M780">
        <v>6</v>
      </c>
      <c r="N780" t="s">
        <v>22</v>
      </c>
      <c r="O780">
        <v>990789</v>
      </c>
      <c r="U780">
        <f>Table1[[#This Row],[Interview_Date]]-Table1[[#This Row],[Application_Date]]</f>
        <v>11</v>
      </c>
      <c r="V780" t="str">
        <f>IF(OR(Table1[[#This Row],[Offer_Date]]="",Table1[[#This Row],[Interview_Date]]=""),"",Table1[[#This Row],[Offer_Date]]-Table1[[#This Row],[Interview_Date]])</f>
        <v/>
      </c>
    </row>
    <row r="781" spans="1:22" x14ac:dyDescent="0.3">
      <c r="A781" t="s">
        <v>836</v>
      </c>
      <c r="B781" t="s">
        <v>65</v>
      </c>
      <c r="C781" t="s">
        <v>66</v>
      </c>
      <c r="D781" t="s">
        <v>26</v>
      </c>
      <c r="E781">
        <v>33</v>
      </c>
      <c r="F781" t="s">
        <v>74</v>
      </c>
      <c r="G781" t="s">
        <v>20</v>
      </c>
      <c r="H781" t="s">
        <v>51</v>
      </c>
      <c r="I781" s="1">
        <v>44691</v>
      </c>
      <c r="J781" s="1">
        <v>44706</v>
      </c>
      <c r="K781" s="1">
        <v>44711</v>
      </c>
      <c r="L781">
        <v>4</v>
      </c>
      <c r="M781">
        <v>2</v>
      </c>
      <c r="N781" t="s">
        <v>28</v>
      </c>
      <c r="O781">
        <v>480967</v>
      </c>
      <c r="U781">
        <f>Table1[[#This Row],[Interview_Date]]-Table1[[#This Row],[Application_Date]]</f>
        <v>15</v>
      </c>
      <c r="V781">
        <f>IF(OR(Table1[[#This Row],[Offer_Date]]="",Table1[[#This Row],[Interview_Date]]=""),"",Table1[[#This Row],[Offer_Date]]-Table1[[#This Row],[Interview_Date]])</f>
        <v>5</v>
      </c>
    </row>
    <row r="782" spans="1:22" x14ac:dyDescent="0.3">
      <c r="A782" t="s">
        <v>837</v>
      </c>
      <c r="B782" t="s">
        <v>72</v>
      </c>
      <c r="C782" t="s">
        <v>43</v>
      </c>
      <c r="D782" t="s">
        <v>26</v>
      </c>
      <c r="E782">
        <v>31</v>
      </c>
      <c r="F782" t="s">
        <v>56</v>
      </c>
      <c r="G782" t="s">
        <v>35</v>
      </c>
      <c r="H782" t="s">
        <v>40</v>
      </c>
      <c r="I782" s="1">
        <v>44706</v>
      </c>
      <c r="J782" s="1">
        <v>44715</v>
      </c>
      <c r="L782">
        <v>4</v>
      </c>
      <c r="M782">
        <v>7</v>
      </c>
      <c r="N782" t="s">
        <v>45</v>
      </c>
      <c r="O782">
        <v>402292</v>
      </c>
      <c r="U782">
        <f>Table1[[#This Row],[Interview_Date]]-Table1[[#This Row],[Application_Date]]</f>
        <v>9</v>
      </c>
      <c r="V782" t="str">
        <f>IF(OR(Table1[[#This Row],[Offer_Date]]="",Table1[[#This Row],[Interview_Date]]=""),"",Table1[[#This Row],[Offer_Date]]-Table1[[#This Row],[Interview_Date]])</f>
        <v/>
      </c>
    </row>
    <row r="783" spans="1:22" x14ac:dyDescent="0.3">
      <c r="A783" t="s">
        <v>838</v>
      </c>
      <c r="B783" t="s">
        <v>63</v>
      </c>
      <c r="C783" t="s">
        <v>66</v>
      </c>
      <c r="D783" t="s">
        <v>18</v>
      </c>
      <c r="E783">
        <v>42</v>
      </c>
      <c r="F783" t="s">
        <v>56</v>
      </c>
      <c r="G783" t="s">
        <v>20</v>
      </c>
      <c r="H783" t="s">
        <v>40</v>
      </c>
      <c r="I783" s="1">
        <v>45116</v>
      </c>
      <c r="J783" s="1">
        <v>45126</v>
      </c>
      <c r="L783">
        <v>1</v>
      </c>
      <c r="M783">
        <v>10</v>
      </c>
      <c r="N783" t="s">
        <v>45</v>
      </c>
      <c r="O783">
        <v>711895</v>
      </c>
      <c r="U783">
        <f>Table1[[#This Row],[Interview_Date]]-Table1[[#This Row],[Application_Date]]</f>
        <v>10</v>
      </c>
      <c r="V783" t="str">
        <f>IF(OR(Table1[[#This Row],[Offer_Date]]="",Table1[[#This Row],[Interview_Date]]=""),"",Table1[[#This Row],[Offer_Date]]-Table1[[#This Row],[Interview_Date]])</f>
        <v/>
      </c>
    </row>
    <row r="784" spans="1:22" x14ac:dyDescent="0.3">
      <c r="A784" t="s">
        <v>839</v>
      </c>
      <c r="B784" t="s">
        <v>16</v>
      </c>
      <c r="C784" t="s">
        <v>30</v>
      </c>
      <c r="D784" t="s">
        <v>18</v>
      </c>
      <c r="E784">
        <v>39</v>
      </c>
      <c r="F784" t="s">
        <v>31</v>
      </c>
      <c r="G784" t="s">
        <v>20</v>
      </c>
      <c r="H784" t="s">
        <v>21</v>
      </c>
      <c r="I784" s="1">
        <v>45255</v>
      </c>
      <c r="J784" s="1">
        <v>45265</v>
      </c>
      <c r="L784">
        <v>2</v>
      </c>
      <c r="M784">
        <v>9</v>
      </c>
      <c r="N784" t="s">
        <v>28</v>
      </c>
      <c r="O784">
        <v>542602</v>
      </c>
      <c r="U784">
        <f>Table1[[#This Row],[Interview_Date]]-Table1[[#This Row],[Application_Date]]</f>
        <v>10</v>
      </c>
      <c r="V784" t="str">
        <f>IF(OR(Table1[[#This Row],[Offer_Date]]="",Table1[[#This Row],[Interview_Date]]=""),"",Table1[[#This Row],[Offer_Date]]-Table1[[#This Row],[Interview_Date]])</f>
        <v/>
      </c>
    </row>
    <row r="785" spans="1:22" x14ac:dyDescent="0.3">
      <c r="A785" t="s">
        <v>840</v>
      </c>
      <c r="B785" t="s">
        <v>16</v>
      </c>
      <c r="C785" t="s">
        <v>53</v>
      </c>
      <c r="D785" t="s">
        <v>18</v>
      </c>
      <c r="E785">
        <v>24</v>
      </c>
      <c r="F785" t="s">
        <v>39</v>
      </c>
      <c r="G785" t="s">
        <v>44</v>
      </c>
      <c r="H785" t="s">
        <v>36</v>
      </c>
      <c r="I785" s="1">
        <v>44380</v>
      </c>
      <c r="J785" s="1">
        <v>44384</v>
      </c>
      <c r="K785" s="1">
        <v>44391</v>
      </c>
      <c r="L785">
        <v>5</v>
      </c>
      <c r="M785">
        <v>5</v>
      </c>
      <c r="N785" t="s">
        <v>22</v>
      </c>
      <c r="O785">
        <v>787728</v>
      </c>
      <c r="U785">
        <f>Table1[[#This Row],[Interview_Date]]-Table1[[#This Row],[Application_Date]]</f>
        <v>4</v>
      </c>
      <c r="V785">
        <f>IF(OR(Table1[[#This Row],[Offer_Date]]="",Table1[[#This Row],[Interview_Date]]=""),"",Table1[[#This Row],[Offer_Date]]-Table1[[#This Row],[Interview_Date]])</f>
        <v>7</v>
      </c>
    </row>
    <row r="786" spans="1:22" x14ac:dyDescent="0.3">
      <c r="A786" t="s">
        <v>841</v>
      </c>
      <c r="B786" t="s">
        <v>63</v>
      </c>
      <c r="C786" t="s">
        <v>17</v>
      </c>
      <c r="D786" t="s">
        <v>18</v>
      </c>
      <c r="E786">
        <v>24</v>
      </c>
      <c r="F786" t="s">
        <v>19</v>
      </c>
      <c r="G786" t="s">
        <v>35</v>
      </c>
      <c r="H786" t="s">
        <v>51</v>
      </c>
      <c r="I786" s="1">
        <v>44456</v>
      </c>
      <c r="J786" s="1">
        <v>44464</v>
      </c>
      <c r="K786" s="1">
        <v>44469</v>
      </c>
      <c r="L786">
        <v>5</v>
      </c>
      <c r="M786">
        <v>8</v>
      </c>
      <c r="N786" t="s">
        <v>45</v>
      </c>
      <c r="O786">
        <v>815386</v>
      </c>
      <c r="U786">
        <f>Table1[[#This Row],[Interview_Date]]-Table1[[#This Row],[Application_Date]]</f>
        <v>8</v>
      </c>
      <c r="V786">
        <f>IF(OR(Table1[[#This Row],[Offer_Date]]="",Table1[[#This Row],[Interview_Date]]=""),"",Table1[[#This Row],[Offer_Date]]-Table1[[#This Row],[Interview_Date]])</f>
        <v>5</v>
      </c>
    </row>
    <row r="787" spans="1:22" x14ac:dyDescent="0.3">
      <c r="A787" t="s">
        <v>842</v>
      </c>
      <c r="B787" t="s">
        <v>72</v>
      </c>
      <c r="C787" t="s">
        <v>30</v>
      </c>
      <c r="D787" t="s">
        <v>26</v>
      </c>
      <c r="E787">
        <v>24</v>
      </c>
      <c r="F787" t="s">
        <v>31</v>
      </c>
      <c r="G787" t="s">
        <v>27</v>
      </c>
      <c r="H787" t="s">
        <v>36</v>
      </c>
      <c r="I787" s="1">
        <v>44492</v>
      </c>
      <c r="J787" s="1">
        <v>44501</v>
      </c>
      <c r="K787" s="1">
        <v>44506</v>
      </c>
      <c r="L787">
        <v>3</v>
      </c>
      <c r="M787">
        <v>6</v>
      </c>
      <c r="N787" t="s">
        <v>22</v>
      </c>
      <c r="O787">
        <v>1046234</v>
      </c>
      <c r="U787">
        <f>Table1[[#This Row],[Interview_Date]]-Table1[[#This Row],[Application_Date]]</f>
        <v>9</v>
      </c>
      <c r="V787">
        <f>IF(OR(Table1[[#This Row],[Offer_Date]]="",Table1[[#This Row],[Interview_Date]]=""),"",Table1[[#This Row],[Offer_Date]]-Table1[[#This Row],[Interview_Date]])</f>
        <v>5</v>
      </c>
    </row>
    <row r="788" spans="1:22" x14ac:dyDescent="0.3">
      <c r="A788" t="s">
        <v>843</v>
      </c>
      <c r="B788" t="s">
        <v>63</v>
      </c>
      <c r="C788" t="s">
        <v>25</v>
      </c>
      <c r="D788" t="s">
        <v>26</v>
      </c>
      <c r="E788">
        <v>23</v>
      </c>
      <c r="F788" t="s">
        <v>56</v>
      </c>
      <c r="G788" t="s">
        <v>44</v>
      </c>
      <c r="H788" t="s">
        <v>21</v>
      </c>
      <c r="I788" s="1">
        <v>44975</v>
      </c>
      <c r="J788" s="1">
        <v>44983</v>
      </c>
      <c r="L788">
        <v>5</v>
      </c>
      <c r="M788">
        <v>8</v>
      </c>
      <c r="N788" t="s">
        <v>45</v>
      </c>
      <c r="O788">
        <v>370185</v>
      </c>
      <c r="U788">
        <f>Table1[[#This Row],[Interview_Date]]-Table1[[#This Row],[Application_Date]]</f>
        <v>8</v>
      </c>
      <c r="V788" t="str">
        <f>IF(OR(Table1[[#This Row],[Offer_Date]]="",Table1[[#This Row],[Interview_Date]]=""),"",Table1[[#This Row],[Offer_Date]]-Table1[[#This Row],[Interview_Date]])</f>
        <v/>
      </c>
    </row>
    <row r="789" spans="1:22" x14ac:dyDescent="0.3">
      <c r="A789" t="s">
        <v>844</v>
      </c>
      <c r="B789" t="s">
        <v>65</v>
      </c>
      <c r="C789" t="s">
        <v>66</v>
      </c>
      <c r="D789" t="s">
        <v>26</v>
      </c>
      <c r="E789">
        <v>44</v>
      </c>
      <c r="F789" t="s">
        <v>56</v>
      </c>
      <c r="G789" t="s">
        <v>35</v>
      </c>
      <c r="H789" t="s">
        <v>40</v>
      </c>
      <c r="I789" s="1">
        <v>44693</v>
      </c>
      <c r="J789" s="1">
        <v>44708</v>
      </c>
      <c r="L789">
        <v>3</v>
      </c>
      <c r="M789">
        <v>8</v>
      </c>
      <c r="N789" t="s">
        <v>48</v>
      </c>
      <c r="O789">
        <v>1078721</v>
      </c>
      <c r="U789">
        <f>Table1[[#This Row],[Interview_Date]]-Table1[[#This Row],[Application_Date]]</f>
        <v>15</v>
      </c>
      <c r="V789" t="str">
        <f>IF(OR(Table1[[#This Row],[Offer_Date]]="",Table1[[#This Row],[Interview_Date]]=""),"",Table1[[#This Row],[Offer_Date]]-Table1[[#This Row],[Interview_Date]])</f>
        <v/>
      </c>
    </row>
    <row r="790" spans="1:22" x14ac:dyDescent="0.3">
      <c r="A790" t="s">
        <v>845</v>
      </c>
      <c r="B790" t="s">
        <v>72</v>
      </c>
      <c r="C790" t="s">
        <v>43</v>
      </c>
      <c r="D790" t="s">
        <v>26</v>
      </c>
      <c r="E790">
        <v>28</v>
      </c>
      <c r="F790" t="s">
        <v>74</v>
      </c>
      <c r="G790" t="s">
        <v>44</v>
      </c>
      <c r="H790" t="s">
        <v>21</v>
      </c>
      <c r="I790" s="1">
        <v>44375</v>
      </c>
      <c r="J790" s="1">
        <v>44384</v>
      </c>
      <c r="K790" s="1">
        <v>44391</v>
      </c>
      <c r="L790">
        <v>2</v>
      </c>
      <c r="M790">
        <v>6</v>
      </c>
      <c r="N790" t="s">
        <v>48</v>
      </c>
      <c r="O790">
        <v>1110453</v>
      </c>
      <c r="U790">
        <f>Table1[[#This Row],[Interview_Date]]-Table1[[#This Row],[Application_Date]]</f>
        <v>9</v>
      </c>
      <c r="V790">
        <f>IF(OR(Table1[[#This Row],[Offer_Date]]="",Table1[[#This Row],[Interview_Date]]=""),"",Table1[[#This Row],[Offer_Date]]-Table1[[#This Row],[Interview_Date]])</f>
        <v>7</v>
      </c>
    </row>
    <row r="791" spans="1:22" x14ac:dyDescent="0.3">
      <c r="A791" t="s">
        <v>846</v>
      </c>
      <c r="B791" t="s">
        <v>65</v>
      </c>
      <c r="C791" t="s">
        <v>59</v>
      </c>
      <c r="D791" t="s">
        <v>26</v>
      </c>
      <c r="E791">
        <v>27</v>
      </c>
      <c r="F791" t="s">
        <v>34</v>
      </c>
      <c r="G791" t="s">
        <v>60</v>
      </c>
      <c r="H791" t="s">
        <v>54</v>
      </c>
      <c r="I791" s="1">
        <v>45382</v>
      </c>
      <c r="J791" s="1">
        <v>45393</v>
      </c>
      <c r="K791" s="1">
        <v>45395</v>
      </c>
      <c r="L791">
        <v>2</v>
      </c>
      <c r="M791">
        <v>7</v>
      </c>
      <c r="N791" t="s">
        <v>45</v>
      </c>
      <c r="O791">
        <v>475812</v>
      </c>
      <c r="U791">
        <f>Table1[[#This Row],[Interview_Date]]-Table1[[#This Row],[Application_Date]]</f>
        <v>11</v>
      </c>
      <c r="V791">
        <f>IF(OR(Table1[[#This Row],[Offer_Date]]="",Table1[[#This Row],[Interview_Date]]=""),"",Table1[[#This Row],[Offer_Date]]-Table1[[#This Row],[Interview_Date]])</f>
        <v>2</v>
      </c>
    </row>
    <row r="792" spans="1:22" x14ac:dyDescent="0.3">
      <c r="A792" t="s">
        <v>847</v>
      </c>
      <c r="B792" t="s">
        <v>72</v>
      </c>
      <c r="C792" t="s">
        <v>30</v>
      </c>
      <c r="D792" t="s">
        <v>26</v>
      </c>
      <c r="E792">
        <v>43</v>
      </c>
      <c r="F792" t="s">
        <v>39</v>
      </c>
      <c r="G792" t="s">
        <v>44</v>
      </c>
      <c r="H792" t="s">
        <v>51</v>
      </c>
      <c r="I792" s="1">
        <v>45309</v>
      </c>
      <c r="J792" s="1">
        <v>45319</v>
      </c>
      <c r="L792">
        <v>1</v>
      </c>
      <c r="M792">
        <v>8</v>
      </c>
      <c r="N792" t="s">
        <v>28</v>
      </c>
      <c r="O792">
        <v>482383</v>
      </c>
      <c r="U792">
        <f>Table1[[#This Row],[Interview_Date]]-Table1[[#This Row],[Application_Date]]</f>
        <v>10</v>
      </c>
      <c r="V792" t="str">
        <f>IF(OR(Table1[[#This Row],[Offer_Date]]="",Table1[[#This Row],[Interview_Date]]=""),"",Table1[[#This Row],[Offer_Date]]-Table1[[#This Row],[Interview_Date]])</f>
        <v/>
      </c>
    </row>
    <row r="793" spans="1:22" x14ac:dyDescent="0.3">
      <c r="A793" t="s">
        <v>848</v>
      </c>
      <c r="B793" t="s">
        <v>65</v>
      </c>
      <c r="C793" t="s">
        <v>69</v>
      </c>
      <c r="D793" t="s">
        <v>26</v>
      </c>
      <c r="E793">
        <v>30</v>
      </c>
      <c r="F793" t="s">
        <v>74</v>
      </c>
      <c r="G793" t="s">
        <v>44</v>
      </c>
      <c r="H793" t="s">
        <v>21</v>
      </c>
      <c r="I793" s="1">
        <v>45348</v>
      </c>
      <c r="J793" s="1">
        <v>45362</v>
      </c>
      <c r="K793" s="1">
        <v>45364</v>
      </c>
      <c r="L793">
        <v>4</v>
      </c>
      <c r="M793">
        <v>4</v>
      </c>
      <c r="N793" t="s">
        <v>48</v>
      </c>
      <c r="O793">
        <v>1069709</v>
      </c>
      <c r="U793">
        <f>Table1[[#This Row],[Interview_Date]]-Table1[[#This Row],[Application_Date]]</f>
        <v>14</v>
      </c>
      <c r="V793">
        <f>IF(OR(Table1[[#This Row],[Offer_Date]]="",Table1[[#This Row],[Interview_Date]]=""),"",Table1[[#This Row],[Offer_Date]]-Table1[[#This Row],[Interview_Date]])</f>
        <v>2</v>
      </c>
    </row>
    <row r="794" spans="1:22" x14ac:dyDescent="0.3">
      <c r="A794" t="s">
        <v>849</v>
      </c>
      <c r="B794" t="s">
        <v>42</v>
      </c>
      <c r="C794" t="s">
        <v>59</v>
      </c>
      <c r="D794" t="s">
        <v>26</v>
      </c>
      <c r="E794">
        <v>40</v>
      </c>
      <c r="F794" t="s">
        <v>74</v>
      </c>
      <c r="G794" t="s">
        <v>35</v>
      </c>
      <c r="H794" t="s">
        <v>36</v>
      </c>
      <c r="I794" s="1">
        <v>44804</v>
      </c>
      <c r="J794" s="1">
        <v>44812</v>
      </c>
      <c r="L794">
        <v>2</v>
      </c>
      <c r="M794">
        <v>6</v>
      </c>
      <c r="N794" t="s">
        <v>45</v>
      </c>
      <c r="O794">
        <v>591499</v>
      </c>
      <c r="U794">
        <f>Table1[[#This Row],[Interview_Date]]-Table1[[#This Row],[Application_Date]]</f>
        <v>8</v>
      </c>
      <c r="V794" t="str">
        <f>IF(OR(Table1[[#This Row],[Offer_Date]]="",Table1[[#This Row],[Interview_Date]]=""),"",Table1[[#This Row],[Offer_Date]]-Table1[[#This Row],[Interview_Date]])</f>
        <v/>
      </c>
    </row>
    <row r="795" spans="1:22" x14ac:dyDescent="0.3">
      <c r="A795" t="s">
        <v>850</v>
      </c>
      <c r="B795" t="s">
        <v>38</v>
      </c>
      <c r="C795" t="s">
        <v>17</v>
      </c>
      <c r="D795" t="s">
        <v>26</v>
      </c>
      <c r="E795">
        <v>25</v>
      </c>
      <c r="F795" t="s">
        <v>39</v>
      </c>
      <c r="G795" t="s">
        <v>35</v>
      </c>
      <c r="H795" t="s">
        <v>51</v>
      </c>
      <c r="I795" s="1">
        <v>44369</v>
      </c>
      <c r="J795" s="1">
        <v>44373</v>
      </c>
      <c r="L795">
        <v>2</v>
      </c>
      <c r="M795">
        <v>8</v>
      </c>
      <c r="N795" t="s">
        <v>45</v>
      </c>
      <c r="O795">
        <v>575079</v>
      </c>
      <c r="U795">
        <f>Table1[[#This Row],[Interview_Date]]-Table1[[#This Row],[Application_Date]]</f>
        <v>4</v>
      </c>
      <c r="V795" t="str">
        <f>IF(OR(Table1[[#This Row],[Offer_Date]]="",Table1[[#This Row],[Interview_Date]]=""),"",Table1[[#This Row],[Offer_Date]]-Table1[[#This Row],[Interview_Date]])</f>
        <v/>
      </c>
    </row>
    <row r="796" spans="1:22" x14ac:dyDescent="0.3">
      <c r="A796" t="s">
        <v>851</v>
      </c>
      <c r="B796" t="s">
        <v>58</v>
      </c>
      <c r="C796" t="s">
        <v>59</v>
      </c>
      <c r="D796" t="s">
        <v>18</v>
      </c>
      <c r="E796">
        <v>31</v>
      </c>
      <c r="F796" t="s">
        <v>39</v>
      </c>
      <c r="G796" t="s">
        <v>44</v>
      </c>
      <c r="H796" t="s">
        <v>36</v>
      </c>
      <c r="I796" s="1">
        <v>44849</v>
      </c>
      <c r="J796" s="1">
        <v>44859</v>
      </c>
      <c r="K796" s="1">
        <v>44865</v>
      </c>
      <c r="L796">
        <v>3</v>
      </c>
      <c r="M796">
        <v>5</v>
      </c>
      <c r="N796" t="s">
        <v>22</v>
      </c>
      <c r="O796">
        <v>1055645</v>
      </c>
      <c r="U796">
        <f>Table1[[#This Row],[Interview_Date]]-Table1[[#This Row],[Application_Date]]</f>
        <v>10</v>
      </c>
      <c r="V796">
        <f>IF(OR(Table1[[#This Row],[Offer_Date]]="",Table1[[#This Row],[Interview_Date]]=""),"",Table1[[#This Row],[Offer_Date]]-Table1[[#This Row],[Interview_Date]])</f>
        <v>6</v>
      </c>
    </row>
    <row r="797" spans="1:22" x14ac:dyDescent="0.3">
      <c r="A797" t="s">
        <v>852</v>
      </c>
      <c r="B797" t="s">
        <v>63</v>
      </c>
      <c r="C797" t="s">
        <v>66</v>
      </c>
      <c r="D797" t="s">
        <v>26</v>
      </c>
      <c r="E797">
        <v>38</v>
      </c>
      <c r="F797" t="s">
        <v>34</v>
      </c>
      <c r="G797" t="s">
        <v>60</v>
      </c>
      <c r="H797" t="s">
        <v>51</v>
      </c>
      <c r="I797" s="1">
        <v>44667</v>
      </c>
      <c r="J797" s="1">
        <v>44681</v>
      </c>
      <c r="K797" s="1">
        <v>44688</v>
      </c>
      <c r="L797">
        <v>2</v>
      </c>
      <c r="M797">
        <v>10</v>
      </c>
      <c r="N797" t="s">
        <v>22</v>
      </c>
      <c r="O797">
        <v>544400</v>
      </c>
      <c r="U797">
        <f>Table1[[#This Row],[Interview_Date]]-Table1[[#This Row],[Application_Date]]</f>
        <v>14</v>
      </c>
      <c r="V797">
        <f>IF(OR(Table1[[#This Row],[Offer_Date]]="",Table1[[#This Row],[Interview_Date]]=""),"",Table1[[#This Row],[Offer_Date]]-Table1[[#This Row],[Interview_Date]])</f>
        <v>7</v>
      </c>
    </row>
    <row r="798" spans="1:22" x14ac:dyDescent="0.3">
      <c r="A798" t="s">
        <v>853</v>
      </c>
      <c r="B798" t="s">
        <v>42</v>
      </c>
      <c r="C798" t="s">
        <v>53</v>
      </c>
      <c r="D798" t="s">
        <v>26</v>
      </c>
      <c r="E798">
        <v>28</v>
      </c>
      <c r="F798" t="s">
        <v>56</v>
      </c>
      <c r="G798" t="s">
        <v>35</v>
      </c>
      <c r="H798" t="s">
        <v>54</v>
      </c>
      <c r="I798" s="1">
        <v>45372</v>
      </c>
      <c r="J798" s="1">
        <v>45384</v>
      </c>
      <c r="L798">
        <v>4</v>
      </c>
      <c r="M798">
        <v>10</v>
      </c>
      <c r="N798" t="s">
        <v>28</v>
      </c>
      <c r="O798">
        <v>774260</v>
      </c>
      <c r="U798">
        <f>Table1[[#This Row],[Interview_Date]]-Table1[[#This Row],[Application_Date]]</f>
        <v>12</v>
      </c>
      <c r="V798" t="str">
        <f>IF(OR(Table1[[#This Row],[Offer_Date]]="",Table1[[#This Row],[Interview_Date]]=""),"",Table1[[#This Row],[Offer_Date]]-Table1[[#This Row],[Interview_Date]])</f>
        <v/>
      </c>
    </row>
    <row r="799" spans="1:22" x14ac:dyDescent="0.3">
      <c r="A799" t="s">
        <v>854</v>
      </c>
      <c r="B799" t="s">
        <v>58</v>
      </c>
      <c r="C799" t="s">
        <v>25</v>
      </c>
      <c r="D799" t="s">
        <v>18</v>
      </c>
      <c r="E799">
        <v>26</v>
      </c>
      <c r="F799" t="s">
        <v>19</v>
      </c>
      <c r="G799" t="s">
        <v>27</v>
      </c>
      <c r="H799" t="s">
        <v>40</v>
      </c>
      <c r="I799" s="1">
        <v>44909</v>
      </c>
      <c r="J799" s="1">
        <v>44914</v>
      </c>
      <c r="K799" s="1">
        <v>44920</v>
      </c>
      <c r="L799">
        <v>5</v>
      </c>
      <c r="M799">
        <v>7</v>
      </c>
      <c r="N799" t="s">
        <v>28</v>
      </c>
      <c r="O799">
        <v>1032282</v>
      </c>
      <c r="U799">
        <f>Table1[[#This Row],[Interview_Date]]-Table1[[#This Row],[Application_Date]]</f>
        <v>5</v>
      </c>
      <c r="V799">
        <f>IF(OR(Table1[[#This Row],[Offer_Date]]="",Table1[[#This Row],[Interview_Date]]=""),"",Table1[[#This Row],[Offer_Date]]-Table1[[#This Row],[Interview_Date]])</f>
        <v>6</v>
      </c>
    </row>
    <row r="800" spans="1:22" x14ac:dyDescent="0.3">
      <c r="A800" t="s">
        <v>855</v>
      </c>
      <c r="B800" t="s">
        <v>16</v>
      </c>
      <c r="C800" t="s">
        <v>53</v>
      </c>
      <c r="D800" t="s">
        <v>18</v>
      </c>
      <c r="E800">
        <v>24</v>
      </c>
      <c r="F800" t="s">
        <v>31</v>
      </c>
      <c r="G800" t="s">
        <v>60</v>
      </c>
      <c r="H800" t="s">
        <v>51</v>
      </c>
      <c r="I800" s="1">
        <v>44618</v>
      </c>
      <c r="J800" s="1">
        <v>44622</v>
      </c>
      <c r="L800">
        <v>4</v>
      </c>
      <c r="M800">
        <v>5</v>
      </c>
      <c r="N800" t="s">
        <v>48</v>
      </c>
      <c r="O800">
        <v>1107575</v>
      </c>
      <c r="U800">
        <f>Table1[[#This Row],[Interview_Date]]-Table1[[#This Row],[Application_Date]]</f>
        <v>4</v>
      </c>
      <c r="V800" t="str">
        <f>IF(OR(Table1[[#This Row],[Offer_Date]]="",Table1[[#This Row],[Interview_Date]]=""),"",Table1[[#This Row],[Offer_Date]]-Table1[[#This Row],[Interview_Date]])</f>
        <v/>
      </c>
    </row>
    <row r="801" spans="1:22" x14ac:dyDescent="0.3">
      <c r="A801" t="s">
        <v>856</v>
      </c>
      <c r="B801" t="s">
        <v>33</v>
      </c>
      <c r="C801" t="s">
        <v>66</v>
      </c>
      <c r="D801" t="s">
        <v>18</v>
      </c>
      <c r="E801">
        <v>30</v>
      </c>
      <c r="F801" t="s">
        <v>39</v>
      </c>
      <c r="G801" t="s">
        <v>44</v>
      </c>
      <c r="H801" t="s">
        <v>40</v>
      </c>
      <c r="I801" s="1">
        <v>44526</v>
      </c>
      <c r="J801" s="1">
        <v>44529</v>
      </c>
      <c r="L801">
        <v>1</v>
      </c>
      <c r="M801">
        <v>6</v>
      </c>
      <c r="N801" t="s">
        <v>22</v>
      </c>
      <c r="O801">
        <v>370717</v>
      </c>
      <c r="U801">
        <f>Table1[[#This Row],[Interview_Date]]-Table1[[#This Row],[Application_Date]]</f>
        <v>3</v>
      </c>
      <c r="V801" t="str">
        <f>IF(OR(Table1[[#This Row],[Offer_Date]]="",Table1[[#This Row],[Interview_Date]]=""),"",Table1[[#This Row],[Offer_Date]]-Table1[[#This Row],[Interview_Date]])</f>
        <v/>
      </c>
    </row>
    <row r="802" spans="1:22" x14ac:dyDescent="0.3">
      <c r="A802" t="s">
        <v>857</v>
      </c>
      <c r="B802" t="s">
        <v>38</v>
      </c>
      <c r="C802" t="s">
        <v>94</v>
      </c>
      <c r="D802" t="s">
        <v>26</v>
      </c>
      <c r="E802">
        <v>29</v>
      </c>
      <c r="F802" t="s">
        <v>19</v>
      </c>
      <c r="G802" t="s">
        <v>44</v>
      </c>
      <c r="H802" t="s">
        <v>54</v>
      </c>
      <c r="I802" s="1">
        <v>44862</v>
      </c>
      <c r="J802" s="1">
        <v>44868</v>
      </c>
      <c r="K802" s="1">
        <v>44870</v>
      </c>
      <c r="L802">
        <v>3</v>
      </c>
      <c r="M802">
        <v>4</v>
      </c>
      <c r="N802" t="s">
        <v>48</v>
      </c>
      <c r="O802">
        <v>644646</v>
      </c>
      <c r="U802">
        <f>Table1[[#This Row],[Interview_Date]]-Table1[[#This Row],[Application_Date]]</f>
        <v>6</v>
      </c>
      <c r="V802">
        <f>IF(OR(Table1[[#This Row],[Offer_Date]]="",Table1[[#This Row],[Interview_Date]]=""),"",Table1[[#This Row],[Offer_Date]]-Table1[[#This Row],[Interview_Date]])</f>
        <v>2</v>
      </c>
    </row>
    <row r="803" spans="1:22" x14ac:dyDescent="0.3">
      <c r="A803" t="s">
        <v>858</v>
      </c>
      <c r="B803" t="s">
        <v>24</v>
      </c>
      <c r="C803" t="s">
        <v>53</v>
      </c>
      <c r="D803" t="s">
        <v>26</v>
      </c>
      <c r="E803">
        <v>29</v>
      </c>
      <c r="F803" t="s">
        <v>56</v>
      </c>
      <c r="G803" t="s">
        <v>20</v>
      </c>
      <c r="H803" t="s">
        <v>51</v>
      </c>
      <c r="I803" s="1">
        <v>44655</v>
      </c>
      <c r="J803" s="1">
        <v>44663</v>
      </c>
      <c r="L803">
        <v>1</v>
      </c>
      <c r="M803">
        <v>9</v>
      </c>
      <c r="N803" t="s">
        <v>48</v>
      </c>
      <c r="O803">
        <v>459316</v>
      </c>
      <c r="U803">
        <f>Table1[[#This Row],[Interview_Date]]-Table1[[#This Row],[Application_Date]]</f>
        <v>8</v>
      </c>
      <c r="V803" t="str">
        <f>IF(OR(Table1[[#This Row],[Offer_Date]]="",Table1[[#This Row],[Interview_Date]]=""),"",Table1[[#This Row],[Offer_Date]]-Table1[[#This Row],[Interview_Date]])</f>
        <v/>
      </c>
    </row>
    <row r="804" spans="1:22" x14ac:dyDescent="0.3">
      <c r="A804" t="s">
        <v>859</v>
      </c>
      <c r="B804" t="s">
        <v>42</v>
      </c>
      <c r="C804" t="s">
        <v>53</v>
      </c>
      <c r="D804" t="s">
        <v>18</v>
      </c>
      <c r="E804">
        <v>39</v>
      </c>
      <c r="F804" t="s">
        <v>19</v>
      </c>
      <c r="G804" t="s">
        <v>44</v>
      </c>
      <c r="H804" t="s">
        <v>54</v>
      </c>
      <c r="I804" s="1">
        <v>44501</v>
      </c>
      <c r="J804" s="1">
        <v>44510</v>
      </c>
      <c r="L804">
        <v>3</v>
      </c>
      <c r="M804">
        <v>5</v>
      </c>
      <c r="N804" t="s">
        <v>22</v>
      </c>
      <c r="O804">
        <v>778438</v>
      </c>
      <c r="U804">
        <f>Table1[[#This Row],[Interview_Date]]-Table1[[#This Row],[Application_Date]]</f>
        <v>9</v>
      </c>
      <c r="V804" t="str">
        <f>IF(OR(Table1[[#This Row],[Offer_Date]]="",Table1[[#This Row],[Interview_Date]]=""),"",Table1[[#This Row],[Offer_Date]]-Table1[[#This Row],[Interview_Date]])</f>
        <v/>
      </c>
    </row>
    <row r="805" spans="1:22" x14ac:dyDescent="0.3">
      <c r="A805" t="s">
        <v>860</v>
      </c>
      <c r="B805" t="s">
        <v>24</v>
      </c>
      <c r="C805" t="s">
        <v>94</v>
      </c>
      <c r="D805" t="s">
        <v>18</v>
      </c>
      <c r="E805">
        <v>29</v>
      </c>
      <c r="F805" t="s">
        <v>39</v>
      </c>
      <c r="G805" t="s">
        <v>27</v>
      </c>
      <c r="H805" t="s">
        <v>40</v>
      </c>
      <c r="I805" s="1">
        <v>44367</v>
      </c>
      <c r="J805" s="1">
        <v>44382</v>
      </c>
      <c r="L805">
        <v>3</v>
      </c>
      <c r="M805">
        <v>4</v>
      </c>
      <c r="N805" t="s">
        <v>45</v>
      </c>
      <c r="O805">
        <v>943224</v>
      </c>
      <c r="U805">
        <f>Table1[[#This Row],[Interview_Date]]-Table1[[#This Row],[Application_Date]]</f>
        <v>15</v>
      </c>
      <c r="V805" t="str">
        <f>IF(OR(Table1[[#This Row],[Offer_Date]]="",Table1[[#This Row],[Interview_Date]]=""),"",Table1[[#This Row],[Offer_Date]]-Table1[[#This Row],[Interview_Date]])</f>
        <v/>
      </c>
    </row>
    <row r="806" spans="1:22" x14ac:dyDescent="0.3">
      <c r="A806" t="s">
        <v>861</v>
      </c>
      <c r="B806" t="s">
        <v>63</v>
      </c>
      <c r="C806" t="s">
        <v>43</v>
      </c>
      <c r="D806" t="s">
        <v>18</v>
      </c>
      <c r="E806">
        <v>31</v>
      </c>
      <c r="F806" t="s">
        <v>19</v>
      </c>
      <c r="G806" t="s">
        <v>20</v>
      </c>
      <c r="H806" t="s">
        <v>21</v>
      </c>
      <c r="I806" s="1">
        <v>44650</v>
      </c>
      <c r="J806" s="1">
        <v>44665</v>
      </c>
      <c r="K806" s="1">
        <v>44670</v>
      </c>
      <c r="L806">
        <v>3</v>
      </c>
      <c r="M806">
        <v>5</v>
      </c>
      <c r="N806" t="s">
        <v>22</v>
      </c>
      <c r="O806">
        <v>1157088</v>
      </c>
      <c r="U806">
        <f>Table1[[#This Row],[Interview_Date]]-Table1[[#This Row],[Application_Date]]</f>
        <v>15</v>
      </c>
      <c r="V806">
        <f>IF(OR(Table1[[#This Row],[Offer_Date]]="",Table1[[#This Row],[Interview_Date]]=""),"",Table1[[#This Row],[Offer_Date]]-Table1[[#This Row],[Interview_Date]])</f>
        <v>5</v>
      </c>
    </row>
    <row r="807" spans="1:22" x14ac:dyDescent="0.3">
      <c r="A807" t="s">
        <v>862</v>
      </c>
      <c r="B807" t="s">
        <v>24</v>
      </c>
      <c r="C807" t="s">
        <v>43</v>
      </c>
      <c r="D807" t="s">
        <v>26</v>
      </c>
      <c r="E807">
        <v>21</v>
      </c>
      <c r="F807" t="s">
        <v>34</v>
      </c>
      <c r="G807" t="s">
        <v>44</v>
      </c>
      <c r="H807" t="s">
        <v>54</v>
      </c>
      <c r="I807" s="1">
        <v>44934</v>
      </c>
      <c r="J807" s="1">
        <v>44938</v>
      </c>
      <c r="K807" s="1">
        <v>44942</v>
      </c>
      <c r="L807">
        <v>2</v>
      </c>
      <c r="M807">
        <v>8</v>
      </c>
      <c r="N807" t="s">
        <v>45</v>
      </c>
      <c r="O807">
        <v>387000</v>
      </c>
      <c r="U807">
        <f>Table1[[#This Row],[Interview_Date]]-Table1[[#This Row],[Application_Date]]</f>
        <v>4</v>
      </c>
      <c r="V807">
        <f>IF(OR(Table1[[#This Row],[Offer_Date]]="",Table1[[#This Row],[Interview_Date]]=""),"",Table1[[#This Row],[Offer_Date]]-Table1[[#This Row],[Interview_Date]])</f>
        <v>4</v>
      </c>
    </row>
    <row r="808" spans="1:22" x14ac:dyDescent="0.3">
      <c r="A808" t="s">
        <v>863</v>
      </c>
      <c r="B808" t="s">
        <v>65</v>
      </c>
      <c r="C808" t="s">
        <v>17</v>
      </c>
      <c r="D808" t="s">
        <v>18</v>
      </c>
      <c r="E808">
        <v>41</v>
      </c>
      <c r="F808" t="s">
        <v>74</v>
      </c>
      <c r="G808" t="s">
        <v>27</v>
      </c>
      <c r="H808" t="s">
        <v>51</v>
      </c>
      <c r="I808" s="1">
        <v>45395</v>
      </c>
      <c r="J808" s="1">
        <v>45404</v>
      </c>
      <c r="K808" s="1">
        <v>45408</v>
      </c>
      <c r="L808">
        <v>1</v>
      </c>
      <c r="M808">
        <v>8</v>
      </c>
      <c r="N808" t="s">
        <v>45</v>
      </c>
      <c r="O808">
        <v>1095787</v>
      </c>
      <c r="U808">
        <f>Table1[[#This Row],[Interview_Date]]-Table1[[#This Row],[Application_Date]]</f>
        <v>9</v>
      </c>
      <c r="V808">
        <f>IF(OR(Table1[[#This Row],[Offer_Date]]="",Table1[[#This Row],[Interview_Date]]=""),"",Table1[[#This Row],[Offer_Date]]-Table1[[#This Row],[Interview_Date]])</f>
        <v>4</v>
      </c>
    </row>
    <row r="809" spans="1:22" x14ac:dyDescent="0.3">
      <c r="A809" t="s">
        <v>864</v>
      </c>
      <c r="B809" t="s">
        <v>47</v>
      </c>
      <c r="C809" t="s">
        <v>94</v>
      </c>
      <c r="D809" t="s">
        <v>18</v>
      </c>
      <c r="E809">
        <v>24</v>
      </c>
      <c r="F809" t="s">
        <v>19</v>
      </c>
      <c r="G809" t="s">
        <v>35</v>
      </c>
      <c r="H809" t="s">
        <v>36</v>
      </c>
      <c r="I809" s="1">
        <v>45173</v>
      </c>
      <c r="J809" s="1">
        <v>45186</v>
      </c>
      <c r="L809">
        <v>4</v>
      </c>
      <c r="M809">
        <v>10</v>
      </c>
      <c r="N809" t="s">
        <v>22</v>
      </c>
      <c r="O809">
        <v>897154</v>
      </c>
      <c r="U809">
        <f>Table1[[#This Row],[Interview_Date]]-Table1[[#This Row],[Application_Date]]</f>
        <v>13</v>
      </c>
      <c r="V809" t="str">
        <f>IF(OR(Table1[[#This Row],[Offer_Date]]="",Table1[[#This Row],[Interview_Date]]=""),"",Table1[[#This Row],[Offer_Date]]-Table1[[#This Row],[Interview_Date]])</f>
        <v/>
      </c>
    </row>
    <row r="810" spans="1:22" x14ac:dyDescent="0.3">
      <c r="A810" t="s">
        <v>865</v>
      </c>
      <c r="B810" t="s">
        <v>24</v>
      </c>
      <c r="C810" t="s">
        <v>69</v>
      </c>
      <c r="D810" t="s">
        <v>18</v>
      </c>
      <c r="E810">
        <v>34</v>
      </c>
      <c r="F810" t="s">
        <v>74</v>
      </c>
      <c r="G810" t="s">
        <v>27</v>
      </c>
      <c r="H810" t="s">
        <v>51</v>
      </c>
      <c r="I810" s="1">
        <v>44882</v>
      </c>
      <c r="J810" s="1">
        <v>44894</v>
      </c>
      <c r="K810" s="1">
        <v>44899</v>
      </c>
      <c r="L810">
        <v>1</v>
      </c>
      <c r="M810">
        <v>6</v>
      </c>
      <c r="N810" t="s">
        <v>48</v>
      </c>
      <c r="O810">
        <v>501883</v>
      </c>
      <c r="U810">
        <f>Table1[[#This Row],[Interview_Date]]-Table1[[#This Row],[Application_Date]]</f>
        <v>12</v>
      </c>
      <c r="V810">
        <f>IF(OR(Table1[[#This Row],[Offer_Date]]="",Table1[[#This Row],[Interview_Date]]=""),"",Table1[[#This Row],[Offer_Date]]-Table1[[#This Row],[Interview_Date]])</f>
        <v>5</v>
      </c>
    </row>
    <row r="811" spans="1:22" x14ac:dyDescent="0.3">
      <c r="A811" t="s">
        <v>866</v>
      </c>
      <c r="B811" t="s">
        <v>38</v>
      </c>
      <c r="C811" t="s">
        <v>25</v>
      </c>
      <c r="D811" t="s">
        <v>18</v>
      </c>
      <c r="E811">
        <v>45</v>
      </c>
      <c r="F811" t="s">
        <v>39</v>
      </c>
      <c r="G811" t="s">
        <v>35</v>
      </c>
      <c r="H811" t="s">
        <v>21</v>
      </c>
      <c r="I811" s="1">
        <v>44577</v>
      </c>
      <c r="J811" s="1">
        <v>44581</v>
      </c>
      <c r="K811" s="1">
        <v>44585</v>
      </c>
      <c r="L811">
        <v>1</v>
      </c>
      <c r="M811">
        <v>2</v>
      </c>
      <c r="N811" t="s">
        <v>45</v>
      </c>
      <c r="O811">
        <v>750272</v>
      </c>
      <c r="U811">
        <f>Table1[[#This Row],[Interview_Date]]-Table1[[#This Row],[Application_Date]]</f>
        <v>4</v>
      </c>
      <c r="V811">
        <f>IF(OR(Table1[[#This Row],[Offer_Date]]="",Table1[[#This Row],[Interview_Date]]=""),"",Table1[[#This Row],[Offer_Date]]-Table1[[#This Row],[Interview_Date]])</f>
        <v>4</v>
      </c>
    </row>
    <row r="812" spans="1:22" x14ac:dyDescent="0.3">
      <c r="A812" t="s">
        <v>867</v>
      </c>
      <c r="B812" t="s">
        <v>33</v>
      </c>
      <c r="C812" t="s">
        <v>94</v>
      </c>
      <c r="D812" t="s">
        <v>26</v>
      </c>
      <c r="E812">
        <v>26</v>
      </c>
      <c r="F812" t="s">
        <v>31</v>
      </c>
      <c r="G812" t="s">
        <v>44</v>
      </c>
      <c r="H812" t="s">
        <v>40</v>
      </c>
      <c r="I812" s="1">
        <v>44912</v>
      </c>
      <c r="J812" s="1">
        <v>44916</v>
      </c>
      <c r="L812">
        <v>3</v>
      </c>
      <c r="M812">
        <v>9</v>
      </c>
      <c r="N812" t="s">
        <v>22</v>
      </c>
      <c r="O812">
        <v>310036</v>
      </c>
      <c r="U812">
        <f>Table1[[#This Row],[Interview_Date]]-Table1[[#This Row],[Application_Date]]</f>
        <v>4</v>
      </c>
      <c r="V812" t="str">
        <f>IF(OR(Table1[[#This Row],[Offer_Date]]="",Table1[[#This Row],[Interview_Date]]=""),"",Table1[[#This Row],[Offer_Date]]-Table1[[#This Row],[Interview_Date]])</f>
        <v/>
      </c>
    </row>
    <row r="813" spans="1:22" x14ac:dyDescent="0.3">
      <c r="A813" t="s">
        <v>868</v>
      </c>
      <c r="B813" t="s">
        <v>42</v>
      </c>
      <c r="C813" t="s">
        <v>94</v>
      </c>
      <c r="D813" t="s">
        <v>18</v>
      </c>
      <c r="E813">
        <v>32</v>
      </c>
      <c r="F813" t="s">
        <v>39</v>
      </c>
      <c r="G813" t="s">
        <v>35</v>
      </c>
      <c r="H813" t="s">
        <v>40</v>
      </c>
      <c r="I813" s="1">
        <v>44900</v>
      </c>
      <c r="J813" s="1">
        <v>44910</v>
      </c>
      <c r="L813">
        <v>3</v>
      </c>
      <c r="M813">
        <v>2</v>
      </c>
      <c r="N813" t="s">
        <v>28</v>
      </c>
      <c r="O813">
        <v>868504</v>
      </c>
      <c r="U813">
        <f>Table1[[#This Row],[Interview_Date]]-Table1[[#This Row],[Application_Date]]</f>
        <v>10</v>
      </c>
      <c r="V813" t="str">
        <f>IF(OR(Table1[[#This Row],[Offer_Date]]="",Table1[[#This Row],[Interview_Date]]=""),"",Table1[[#This Row],[Offer_Date]]-Table1[[#This Row],[Interview_Date]])</f>
        <v/>
      </c>
    </row>
    <row r="814" spans="1:22" x14ac:dyDescent="0.3">
      <c r="A814" t="s">
        <v>869</v>
      </c>
      <c r="B814" t="s">
        <v>65</v>
      </c>
      <c r="C814" t="s">
        <v>94</v>
      </c>
      <c r="D814" t="s">
        <v>26</v>
      </c>
      <c r="E814">
        <v>44</v>
      </c>
      <c r="F814" t="s">
        <v>39</v>
      </c>
      <c r="G814" t="s">
        <v>27</v>
      </c>
      <c r="H814" t="s">
        <v>51</v>
      </c>
      <c r="I814" s="1">
        <v>45111</v>
      </c>
      <c r="J814" s="1">
        <v>45115</v>
      </c>
      <c r="K814" s="1">
        <v>45122</v>
      </c>
      <c r="L814">
        <v>1</v>
      </c>
      <c r="M814">
        <v>6</v>
      </c>
      <c r="N814" t="s">
        <v>48</v>
      </c>
      <c r="O814">
        <v>612083</v>
      </c>
      <c r="U814">
        <f>Table1[[#This Row],[Interview_Date]]-Table1[[#This Row],[Application_Date]]</f>
        <v>4</v>
      </c>
      <c r="V814">
        <f>IF(OR(Table1[[#This Row],[Offer_Date]]="",Table1[[#This Row],[Interview_Date]]=""),"",Table1[[#This Row],[Offer_Date]]-Table1[[#This Row],[Interview_Date]])</f>
        <v>7</v>
      </c>
    </row>
    <row r="815" spans="1:22" x14ac:dyDescent="0.3">
      <c r="A815" t="s">
        <v>870</v>
      </c>
      <c r="B815" t="s">
        <v>24</v>
      </c>
      <c r="C815" t="s">
        <v>66</v>
      </c>
      <c r="D815" t="s">
        <v>18</v>
      </c>
      <c r="E815">
        <v>36</v>
      </c>
      <c r="F815" t="s">
        <v>56</v>
      </c>
      <c r="G815" t="s">
        <v>27</v>
      </c>
      <c r="H815" t="s">
        <v>36</v>
      </c>
      <c r="I815" s="1">
        <v>44451</v>
      </c>
      <c r="J815" s="1">
        <v>44460</v>
      </c>
      <c r="L815">
        <v>3</v>
      </c>
      <c r="M815">
        <v>3</v>
      </c>
      <c r="N815" t="s">
        <v>28</v>
      </c>
      <c r="O815">
        <v>1169792</v>
      </c>
      <c r="U815">
        <f>Table1[[#This Row],[Interview_Date]]-Table1[[#This Row],[Application_Date]]</f>
        <v>9</v>
      </c>
      <c r="V815" t="str">
        <f>IF(OR(Table1[[#This Row],[Offer_Date]]="",Table1[[#This Row],[Interview_Date]]=""),"",Table1[[#This Row],[Offer_Date]]-Table1[[#This Row],[Interview_Date]])</f>
        <v/>
      </c>
    </row>
    <row r="816" spans="1:22" x14ac:dyDescent="0.3">
      <c r="A816" t="s">
        <v>871</v>
      </c>
      <c r="B816" t="s">
        <v>58</v>
      </c>
      <c r="C816" t="s">
        <v>43</v>
      </c>
      <c r="D816" t="s">
        <v>26</v>
      </c>
      <c r="E816">
        <v>40</v>
      </c>
      <c r="F816" t="s">
        <v>34</v>
      </c>
      <c r="G816" t="s">
        <v>35</v>
      </c>
      <c r="H816" t="s">
        <v>36</v>
      </c>
      <c r="I816" s="1">
        <v>44465</v>
      </c>
      <c r="J816" s="1">
        <v>44472</v>
      </c>
      <c r="K816" s="1">
        <v>44474</v>
      </c>
      <c r="L816">
        <v>5</v>
      </c>
      <c r="M816">
        <v>10</v>
      </c>
      <c r="N816" t="s">
        <v>48</v>
      </c>
      <c r="O816">
        <v>421016</v>
      </c>
      <c r="U816">
        <f>Table1[[#This Row],[Interview_Date]]-Table1[[#This Row],[Application_Date]]</f>
        <v>7</v>
      </c>
      <c r="V816">
        <f>IF(OR(Table1[[#This Row],[Offer_Date]]="",Table1[[#This Row],[Interview_Date]]=""),"",Table1[[#This Row],[Offer_Date]]-Table1[[#This Row],[Interview_Date]])</f>
        <v>2</v>
      </c>
    </row>
    <row r="817" spans="1:22" x14ac:dyDescent="0.3">
      <c r="A817" t="s">
        <v>872</v>
      </c>
      <c r="B817" t="s">
        <v>58</v>
      </c>
      <c r="C817" t="s">
        <v>66</v>
      </c>
      <c r="D817" t="s">
        <v>26</v>
      </c>
      <c r="E817">
        <v>34</v>
      </c>
      <c r="F817" t="s">
        <v>74</v>
      </c>
      <c r="G817" t="s">
        <v>20</v>
      </c>
      <c r="H817" t="s">
        <v>40</v>
      </c>
      <c r="I817" s="1">
        <v>45140</v>
      </c>
      <c r="J817" s="1">
        <v>45150</v>
      </c>
      <c r="L817">
        <v>1</v>
      </c>
      <c r="M817">
        <v>4</v>
      </c>
      <c r="N817" t="s">
        <v>48</v>
      </c>
      <c r="O817">
        <v>936911</v>
      </c>
      <c r="U817">
        <f>Table1[[#This Row],[Interview_Date]]-Table1[[#This Row],[Application_Date]]</f>
        <v>10</v>
      </c>
      <c r="V817" t="str">
        <f>IF(OR(Table1[[#This Row],[Offer_Date]]="",Table1[[#This Row],[Interview_Date]]=""),"",Table1[[#This Row],[Offer_Date]]-Table1[[#This Row],[Interview_Date]])</f>
        <v/>
      </c>
    </row>
    <row r="818" spans="1:22" x14ac:dyDescent="0.3">
      <c r="A818" t="s">
        <v>873</v>
      </c>
      <c r="B818" t="s">
        <v>72</v>
      </c>
      <c r="C818" t="s">
        <v>69</v>
      </c>
      <c r="D818" t="s">
        <v>26</v>
      </c>
      <c r="E818">
        <v>29</v>
      </c>
      <c r="F818" t="s">
        <v>56</v>
      </c>
      <c r="G818" t="s">
        <v>27</v>
      </c>
      <c r="H818" t="s">
        <v>54</v>
      </c>
      <c r="I818" s="1">
        <v>45070</v>
      </c>
      <c r="J818" s="1">
        <v>45074</v>
      </c>
      <c r="L818">
        <v>1</v>
      </c>
      <c r="M818">
        <v>7</v>
      </c>
      <c r="N818" t="s">
        <v>28</v>
      </c>
      <c r="O818">
        <v>625298</v>
      </c>
      <c r="U818">
        <f>Table1[[#This Row],[Interview_Date]]-Table1[[#This Row],[Application_Date]]</f>
        <v>4</v>
      </c>
      <c r="V818" t="str">
        <f>IF(OR(Table1[[#This Row],[Offer_Date]]="",Table1[[#This Row],[Interview_Date]]=""),"",Table1[[#This Row],[Offer_Date]]-Table1[[#This Row],[Interview_Date]])</f>
        <v/>
      </c>
    </row>
    <row r="819" spans="1:22" x14ac:dyDescent="0.3">
      <c r="A819" t="s">
        <v>874</v>
      </c>
      <c r="B819" t="s">
        <v>72</v>
      </c>
      <c r="C819" t="s">
        <v>30</v>
      </c>
      <c r="D819" t="s">
        <v>26</v>
      </c>
      <c r="E819">
        <v>35</v>
      </c>
      <c r="F819" t="s">
        <v>34</v>
      </c>
      <c r="G819" t="s">
        <v>27</v>
      </c>
      <c r="H819" t="s">
        <v>21</v>
      </c>
      <c r="I819" s="1">
        <v>44280</v>
      </c>
      <c r="J819" s="1">
        <v>44284</v>
      </c>
      <c r="L819">
        <v>2</v>
      </c>
      <c r="M819">
        <v>10</v>
      </c>
      <c r="N819" t="s">
        <v>28</v>
      </c>
      <c r="O819">
        <v>581802</v>
      </c>
      <c r="U819">
        <f>Table1[[#This Row],[Interview_Date]]-Table1[[#This Row],[Application_Date]]</f>
        <v>4</v>
      </c>
      <c r="V819" t="str">
        <f>IF(OR(Table1[[#This Row],[Offer_Date]]="",Table1[[#This Row],[Interview_Date]]=""),"",Table1[[#This Row],[Offer_Date]]-Table1[[#This Row],[Interview_Date]])</f>
        <v/>
      </c>
    </row>
    <row r="820" spans="1:22" x14ac:dyDescent="0.3">
      <c r="A820" t="s">
        <v>875</v>
      </c>
      <c r="B820" t="s">
        <v>33</v>
      </c>
      <c r="C820" t="s">
        <v>17</v>
      </c>
      <c r="D820" t="s">
        <v>18</v>
      </c>
      <c r="E820">
        <v>32</v>
      </c>
      <c r="F820" t="s">
        <v>34</v>
      </c>
      <c r="G820" t="s">
        <v>27</v>
      </c>
      <c r="H820" t="s">
        <v>40</v>
      </c>
      <c r="I820" s="1">
        <v>44872</v>
      </c>
      <c r="J820" s="1">
        <v>44879</v>
      </c>
      <c r="L820">
        <v>3</v>
      </c>
      <c r="M820">
        <v>2</v>
      </c>
      <c r="N820" t="s">
        <v>22</v>
      </c>
      <c r="O820">
        <v>605991</v>
      </c>
      <c r="U820">
        <f>Table1[[#This Row],[Interview_Date]]-Table1[[#This Row],[Application_Date]]</f>
        <v>7</v>
      </c>
      <c r="V820" t="str">
        <f>IF(OR(Table1[[#This Row],[Offer_Date]]="",Table1[[#This Row],[Interview_Date]]=""),"",Table1[[#This Row],[Offer_Date]]-Table1[[#This Row],[Interview_Date]])</f>
        <v/>
      </c>
    </row>
    <row r="821" spans="1:22" x14ac:dyDescent="0.3">
      <c r="A821" t="s">
        <v>876</v>
      </c>
      <c r="B821" t="s">
        <v>72</v>
      </c>
      <c r="C821" t="s">
        <v>17</v>
      </c>
      <c r="D821" t="s">
        <v>26</v>
      </c>
      <c r="E821">
        <v>24</v>
      </c>
      <c r="F821" t="s">
        <v>34</v>
      </c>
      <c r="G821" t="s">
        <v>35</v>
      </c>
      <c r="H821" t="s">
        <v>54</v>
      </c>
      <c r="I821" s="1">
        <v>44797</v>
      </c>
      <c r="J821" s="1">
        <v>44801</v>
      </c>
      <c r="K821" s="1">
        <v>44804</v>
      </c>
      <c r="L821">
        <v>2</v>
      </c>
      <c r="M821">
        <v>7</v>
      </c>
      <c r="N821" t="s">
        <v>28</v>
      </c>
      <c r="O821">
        <v>523152</v>
      </c>
      <c r="U821">
        <f>Table1[[#This Row],[Interview_Date]]-Table1[[#This Row],[Application_Date]]</f>
        <v>4</v>
      </c>
      <c r="V821">
        <f>IF(OR(Table1[[#This Row],[Offer_Date]]="",Table1[[#This Row],[Interview_Date]]=""),"",Table1[[#This Row],[Offer_Date]]-Table1[[#This Row],[Interview_Date]])</f>
        <v>3</v>
      </c>
    </row>
    <row r="822" spans="1:22" x14ac:dyDescent="0.3">
      <c r="A822" t="s">
        <v>877</v>
      </c>
      <c r="B822" t="s">
        <v>47</v>
      </c>
      <c r="C822" t="s">
        <v>43</v>
      </c>
      <c r="D822" t="s">
        <v>26</v>
      </c>
      <c r="E822">
        <v>40</v>
      </c>
      <c r="F822" t="s">
        <v>19</v>
      </c>
      <c r="G822" t="s">
        <v>44</v>
      </c>
      <c r="H822" t="s">
        <v>51</v>
      </c>
      <c r="I822" s="1">
        <v>44427</v>
      </c>
      <c r="J822" s="1">
        <v>44432</v>
      </c>
      <c r="K822" s="1">
        <v>44439</v>
      </c>
      <c r="L822">
        <v>5</v>
      </c>
      <c r="M822">
        <v>2</v>
      </c>
      <c r="N822" t="s">
        <v>28</v>
      </c>
      <c r="O822">
        <v>1063280</v>
      </c>
      <c r="U822">
        <f>Table1[[#This Row],[Interview_Date]]-Table1[[#This Row],[Application_Date]]</f>
        <v>5</v>
      </c>
      <c r="V822">
        <f>IF(OR(Table1[[#This Row],[Offer_Date]]="",Table1[[#This Row],[Interview_Date]]=""),"",Table1[[#This Row],[Offer_Date]]-Table1[[#This Row],[Interview_Date]])</f>
        <v>7</v>
      </c>
    </row>
    <row r="823" spans="1:22" x14ac:dyDescent="0.3">
      <c r="A823" t="s">
        <v>878</v>
      </c>
      <c r="B823" t="s">
        <v>65</v>
      </c>
      <c r="C823" t="s">
        <v>94</v>
      </c>
      <c r="D823" t="s">
        <v>26</v>
      </c>
      <c r="E823">
        <v>26</v>
      </c>
      <c r="F823" t="s">
        <v>19</v>
      </c>
      <c r="G823" t="s">
        <v>60</v>
      </c>
      <c r="H823" t="s">
        <v>40</v>
      </c>
      <c r="I823" s="1">
        <v>44490</v>
      </c>
      <c r="J823" s="1">
        <v>44493</v>
      </c>
      <c r="K823" s="1">
        <v>44497</v>
      </c>
      <c r="L823">
        <v>5</v>
      </c>
      <c r="M823">
        <v>6</v>
      </c>
      <c r="N823" t="s">
        <v>48</v>
      </c>
      <c r="O823">
        <v>1036670</v>
      </c>
      <c r="U823">
        <f>Table1[[#This Row],[Interview_Date]]-Table1[[#This Row],[Application_Date]]</f>
        <v>3</v>
      </c>
      <c r="V823">
        <f>IF(OR(Table1[[#This Row],[Offer_Date]]="",Table1[[#This Row],[Interview_Date]]=""),"",Table1[[#This Row],[Offer_Date]]-Table1[[#This Row],[Interview_Date]])</f>
        <v>4</v>
      </c>
    </row>
    <row r="824" spans="1:22" x14ac:dyDescent="0.3">
      <c r="A824" t="s">
        <v>879</v>
      </c>
      <c r="B824" t="s">
        <v>24</v>
      </c>
      <c r="C824" t="s">
        <v>69</v>
      </c>
      <c r="D824" t="s">
        <v>18</v>
      </c>
      <c r="E824">
        <v>31</v>
      </c>
      <c r="F824" t="s">
        <v>74</v>
      </c>
      <c r="G824" t="s">
        <v>20</v>
      </c>
      <c r="H824" t="s">
        <v>54</v>
      </c>
      <c r="I824" s="1">
        <v>44284</v>
      </c>
      <c r="J824" s="1">
        <v>44298</v>
      </c>
      <c r="K824" s="1">
        <v>44303</v>
      </c>
      <c r="L824">
        <v>2</v>
      </c>
      <c r="M824">
        <v>10</v>
      </c>
      <c r="N824" t="s">
        <v>48</v>
      </c>
      <c r="O824">
        <v>684310</v>
      </c>
      <c r="U824">
        <f>Table1[[#This Row],[Interview_Date]]-Table1[[#This Row],[Application_Date]]</f>
        <v>14</v>
      </c>
      <c r="V824">
        <f>IF(OR(Table1[[#This Row],[Offer_Date]]="",Table1[[#This Row],[Interview_Date]]=""),"",Table1[[#This Row],[Offer_Date]]-Table1[[#This Row],[Interview_Date]])</f>
        <v>5</v>
      </c>
    </row>
    <row r="825" spans="1:22" x14ac:dyDescent="0.3">
      <c r="A825" t="s">
        <v>880</v>
      </c>
      <c r="B825" t="s">
        <v>38</v>
      </c>
      <c r="C825" t="s">
        <v>30</v>
      </c>
      <c r="D825" t="s">
        <v>26</v>
      </c>
      <c r="E825">
        <v>27</v>
      </c>
      <c r="F825" t="s">
        <v>34</v>
      </c>
      <c r="G825" t="s">
        <v>60</v>
      </c>
      <c r="H825" t="s">
        <v>40</v>
      </c>
      <c r="I825" s="1">
        <v>44291</v>
      </c>
      <c r="J825" s="1">
        <v>44296</v>
      </c>
      <c r="K825" s="1">
        <v>44299</v>
      </c>
      <c r="L825">
        <v>1</v>
      </c>
      <c r="M825">
        <v>6</v>
      </c>
      <c r="N825" t="s">
        <v>45</v>
      </c>
      <c r="O825">
        <v>1101392</v>
      </c>
      <c r="U825">
        <f>Table1[[#This Row],[Interview_Date]]-Table1[[#This Row],[Application_Date]]</f>
        <v>5</v>
      </c>
      <c r="V825">
        <f>IF(OR(Table1[[#This Row],[Offer_Date]]="",Table1[[#This Row],[Interview_Date]]=""),"",Table1[[#This Row],[Offer_Date]]-Table1[[#This Row],[Interview_Date]])</f>
        <v>3</v>
      </c>
    </row>
    <row r="826" spans="1:22" x14ac:dyDescent="0.3">
      <c r="A826" t="s">
        <v>881</v>
      </c>
      <c r="B826" t="s">
        <v>63</v>
      </c>
      <c r="C826" t="s">
        <v>30</v>
      </c>
      <c r="D826" t="s">
        <v>18</v>
      </c>
      <c r="E826">
        <v>30</v>
      </c>
      <c r="F826" t="s">
        <v>31</v>
      </c>
      <c r="G826" t="s">
        <v>44</v>
      </c>
      <c r="H826" t="s">
        <v>54</v>
      </c>
      <c r="I826" s="1">
        <v>44444</v>
      </c>
      <c r="J826" s="1">
        <v>44450</v>
      </c>
      <c r="K826" s="1">
        <v>44454</v>
      </c>
      <c r="L826">
        <v>1</v>
      </c>
      <c r="M826">
        <v>6</v>
      </c>
      <c r="N826" t="s">
        <v>22</v>
      </c>
      <c r="O826">
        <v>483200</v>
      </c>
      <c r="U826">
        <f>Table1[[#This Row],[Interview_Date]]-Table1[[#This Row],[Application_Date]]</f>
        <v>6</v>
      </c>
      <c r="V826">
        <f>IF(OR(Table1[[#This Row],[Offer_Date]]="",Table1[[#This Row],[Interview_Date]]=""),"",Table1[[#This Row],[Offer_Date]]-Table1[[#This Row],[Interview_Date]])</f>
        <v>4</v>
      </c>
    </row>
    <row r="827" spans="1:22" x14ac:dyDescent="0.3">
      <c r="A827" t="s">
        <v>882</v>
      </c>
      <c r="B827" t="s">
        <v>65</v>
      </c>
      <c r="C827" t="s">
        <v>30</v>
      </c>
      <c r="D827" t="s">
        <v>26</v>
      </c>
      <c r="E827">
        <v>30</v>
      </c>
      <c r="F827" t="s">
        <v>19</v>
      </c>
      <c r="G827" t="s">
        <v>20</v>
      </c>
      <c r="H827" t="s">
        <v>51</v>
      </c>
      <c r="I827" s="1">
        <v>44864</v>
      </c>
      <c r="J827" s="1">
        <v>44875</v>
      </c>
      <c r="K827" s="1">
        <v>44881</v>
      </c>
      <c r="L827">
        <v>4</v>
      </c>
      <c r="M827">
        <v>10</v>
      </c>
      <c r="N827" t="s">
        <v>22</v>
      </c>
      <c r="O827">
        <v>681676</v>
      </c>
      <c r="U827">
        <f>Table1[[#This Row],[Interview_Date]]-Table1[[#This Row],[Application_Date]]</f>
        <v>11</v>
      </c>
      <c r="V827">
        <f>IF(OR(Table1[[#This Row],[Offer_Date]]="",Table1[[#This Row],[Interview_Date]]=""),"",Table1[[#This Row],[Offer_Date]]-Table1[[#This Row],[Interview_Date]])</f>
        <v>6</v>
      </c>
    </row>
    <row r="828" spans="1:22" x14ac:dyDescent="0.3">
      <c r="A828" t="s">
        <v>883</v>
      </c>
      <c r="B828" t="s">
        <v>72</v>
      </c>
      <c r="C828" t="s">
        <v>69</v>
      </c>
      <c r="D828" t="s">
        <v>26</v>
      </c>
      <c r="E828">
        <v>43</v>
      </c>
      <c r="F828" t="s">
        <v>56</v>
      </c>
      <c r="G828" t="s">
        <v>60</v>
      </c>
      <c r="H828" t="s">
        <v>40</v>
      </c>
      <c r="I828" s="1">
        <v>44343</v>
      </c>
      <c r="J828" s="1">
        <v>44354</v>
      </c>
      <c r="L828">
        <v>1</v>
      </c>
      <c r="M828">
        <v>9</v>
      </c>
      <c r="N828" t="s">
        <v>48</v>
      </c>
      <c r="O828">
        <v>549632</v>
      </c>
      <c r="U828">
        <f>Table1[[#This Row],[Interview_Date]]-Table1[[#This Row],[Application_Date]]</f>
        <v>11</v>
      </c>
      <c r="V828" t="str">
        <f>IF(OR(Table1[[#This Row],[Offer_Date]]="",Table1[[#This Row],[Interview_Date]]=""),"",Table1[[#This Row],[Offer_Date]]-Table1[[#This Row],[Interview_Date]])</f>
        <v/>
      </c>
    </row>
    <row r="829" spans="1:22" x14ac:dyDescent="0.3">
      <c r="A829" t="s">
        <v>884</v>
      </c>
      <c r="B829" t="s">
        <v>33</v>
      </c>
      <c r="C829" t="s">
        <v>17</v>
      </c>
      <c r="D829" t="s">
        <v>18</v>
      </c>
      <c r="E829">
        <v>39</v>
      </c>
      <c r="F829" t="s">
        <v>34</v>
      </c>
      <c r="G829" t="s">
        <v>60</v>
      </c>
      <c r="H829" t="s">
        <v>51</v>
      </c>
      <c r="I829" s="1">
        <v>44776</v>
      </c>
      <c r="J829" s="1">
        <v>44780</v>
      </c>
      <c r="K829" s="1">
        <v>44787</v>
      </c>
      <c r="L829">
        <v>4</v>
      </c>
      <c r="M829">
        <v>2</v>
      </c>
      <c r="N829" t="s">
        <v>28</v>
      </c>
      <c r="O829">
        <v>538705</v>
      </c>
      <c r="U829">
        <f>Table1[[#This Row],[Interview_Date]]-Table1[[#This Row],[Application_Date]]</f>
        <v>4</v>
      </c>
      <c r="V829">
        <f>IF(OR(Table1[[#This Row],[Offer_Date]]="",Table1[[#This Row],[Interview_Date]]=""),"",Table1[[#This Row],[Offer_Date]]-Table1[[#This Row],[Interview_Date]])</f>
        <v>7</v>
      </c>
    </row>
    <row r="830" spans="1:22" x14ac:dyDescent="0.3">
      <c r="A830" t="s">
        <v>885</v>
      </c>
      <c r="B830" t="s">
        <v>16</v>
      </c>
      <c r="C830" t="s">
        <v>43</v>
      </c>
      <c r="D830" t="s">
        <v>26</v>
      </c>
      <c r="E830">
        <v>44</v>
      </c>
      <c r="F830" t="s">
        <v>74</v>
      </c>
      <c r="G830" t="s">
        <v>20</v>
      </c>
      <c r="H830" t="s">
        <v>40</v>
      </c>
      <c r="I830" s="1">
        <v>45196</v>
      </c>
      <c r="J830" s="1">
        <v>45210</v>
      </c>
      <c r="L830">
        <v>1</v>
      </c>
      <c r="M830">
        <v>10</v>
      </c>
      <c r="N830" t="s">
        <v>45</v>
      </c>
      <c r="O830">
        <v>803783</v>
      </c>
      <c r="U830">
        <f>Table1[[#This Row],[Interview_Date]]-Table1[[#This Row],[Application_Date]]</f>
        <v>14</v>
      </c>
      <c r="V830" t="str">
        <f>IF(OR(Table1[[#This Row],[Offer_Date]]="",Table1[[#This Row],[Interview_Date]]=""),"",Table1[[#This Row],[Offer_Date]]-Table1[[#This Row],[Interview_Date]])</f>
        <v/>
      </c>
    </row>
    <row r="831" spans="1:22" x14ac:dyDescent="0.3">
      <c r="A831" t="s">
        <v>886</v>
      </c>
      <c r="B831" t="s">
        <v>58</v>
      </c>
      <c r="C831" t="s">
        <v>59</v>
      </c>
      <c r="D831" t="s">
        <v>18</v>
      </c>
      <c r="E831">
        <v>35</v>
      </c>
      <c r="F831" t="s">
        <v>19</v>
      </c>
      <c r="G831" t="s">
        <v>27</v>
      </c>
      <c r="H831" t="s">
        <v>36</v>
      </c>
      <c r="I831" s="1">
        <v>45213</v>
      </c>
      <c r="J831" s="1">
        <v>45220</v>
      </c>
      <c r="K831" s="1">
        <v>45226</v>
      </c>
      <c r="L831">
        <v>1</v>
      </c>
      <c r="M831">
        <v>4</v>
      </c>
      <c r="N831" t="s">
        <v>22</v>
      </c>
      <c r="O831">
        <v>445931</v>
      </c>
      <c r="U831">
        <f>Table1[[#This Row],[Interview_Date]]-Table1[[#This Row],[Application_Date]]</f>
        <v>7</v>
      </c>
      <c r="V831">
        <f>IF(OR(Table1[[#This Row],[Offer_Date]]="",Table1[[#This Row],[Interview_Date]]=""),"",Table1[[#This Row],[Offer_Date]]-Table1[[#This Row],[Interview_Date]])</f>
        <v>6</v>
      </c>
    </row>
    <row r="832" spans="1:22" x14ac:dyDescent="0.3">
      <c r="A832" t="s">
        <v>887</v>
      </c>
      <c r="B832" t="s">
        <v>16</v>
      </c>
      <c r="C832" t="s">
        <v>59</v>
      </c>
      <c r="D832" t="s">
        <v>26</v>
      </c>
      <c r="E832">
        <v>33</v>
      </c>
      <c r="F832" t="s">
        <v>31</v>
      </c>
      <c r="G832" t="s">
        <v>35</v>
      </c>
      <c r="H832" t="s">
        <v>54</v>
      </c>
      <c r="I832" s="1">
        <v>44394</v>
      </c>
      <c r="J832" s="1">
        <v>44400</v>
      </c>
      <c r="L832">
        <v>2</v>
      </c>
      <c r="M832">
        <v>6</v>
      </c>
      <c r="N832" t="s">
        <v>28</v>
      </c>
      <c r="O832">
        <v>1049733</v>
      </c>
      <c r="U832">
        <f>Table1[[#This Row],[Interview_Date]]-Table1[[#This Row],[Application_Date]]</f>
        <v>6</v>
      </c>
      <c r="V832" t="str">
        <f>IF(OR(Table1[[#This Row],[Offer_Date]]="",Table1[[#This Row],[Interview_Date]]=""),"",Table1[[#This Row],[Offer_Date]]-Table1[[#This Row],[Interview_Date]])</f>
        <v/>
      </c>
    </row>
    <row r="833" spans="1:22" x14ac:dyDescent="0.3">
      <c r="A833" t="s">
        <v>888</v>
      </c>
      <c r="B833" t="s">
        <v>33</v>
      </c>
      <c r="C833" t="s">
        <v>59</v>
      </c>
      <c r="D833" t="s">
        <v>18</v>
      </c>
      <c r="E833">
        <v>45</v>
      </c>
      <c r="F833" t="s">
        <v>39</v>
      </c>
      <c r="G833" t="s">
        <v>27</v>
      </c>
      <c r="H833" t="s">
        <v>51</v>
      </c>
      <c r="I833" s="1">
        <v>44303</v>
      </c>
      <c r="J833" s="1">
        <v>44314</v>
      </c>
      <c r="L833">
        <v>1</v>
      </c>
      <c r="M833">
        <v>8</v>
      </c>
      <c r="N833" t="s">
        <v>22</v>
      </c>
      <c r="O833">
        <v>654296</v>
      </c>
      <c r="U833">
        <f>Table1[[#This Row],[Interview_Date]]-Table1[[#This Row],[Application_Date]]</f>
        <v>11</v>
      </c>
      <c r="V833" t="str">
        <f>IF(OR(Table1[[#This Row],[Offer_Date]]="",Table1[[#This Row],[Interview_Date]]=""),"",Table1[[#This Row],[Offer_Date]]-Table1[[#This Row],[Interview_Date]])</f>
        <v/>
      </c>
    </row>
    <row r="834" spans="1:22" x14ac:dyDescent="0.3">
      <c r="A834" t="s">
        <v>889</v>
      </c>
      <c r="B834" t="s">
        <v>58</v>
      </c>
      <c r="C834" t="s">
        <v>30</v>
      </c>
      <c r="D834" t="s">
        <v>18</v>
      </c>
      <c r="E834">
        <v>21</v>
      </c>
      <c r="F834" t="s">
        <v>39</v>
      </c>
      <c r="G834" t="s">
        <v>44</v>
      </c>
      <c r="H834" t="s">
        <v>54</v>
      </c>
      <c r="I834" s="1">
        <v>44818</v>
      </c>
      <c r="J834" s="1">
        <v>44831</v>
      </c>
      <c r="L834">
        <v>4</v>
      </c>
      <c r="M834">
        <v>7</v>
      </c>
      <c r="N834" t="s">
        <v>28</v>
      </c>
      <c r="O834">
        <v>572350</v>
      </c>
      <c r="U834">
        <f>Table1[[#This Row],[Interview_Date]]-Table1[[#This Row],[Application_Date]]</f>
        <v>13</v>
      </c>
      <c r="V834" t="str">
        <f>IF(OR(Table1[[#This Row],[Offer_Date]]="",Table1[[#This Row],[Interview_Date]]=""),"",Table1[[#This Row],[Offer_Date]]-Table1[[#This Row],[Interview_Date]])</f>
        <v/>
      </c>
    </row>
    <row r="835" spans="1:22" x14ac:dyDescent="0.3">
      <c r="A835" t="s">
        <v>890</v>
      </c>
      <c r="B835" t="s">
        <v>16</v>
      </c>
      <c r="C835" t="s">
        <v>17</v>
      </c>
      <c r="D835" t="s">
        <v>26</v>
      </c>
      <c r="E835">
        <v>35</v>
      </c>
      <c r="F835" t="s">
        <v>34</v>
      </c>
      <c r="G835" t="s">
        <v>20</v>
      </c>
      <c r="H835" t="s">
        <v>51</v>
      </c>
      <c r="I835" s="1">
        <v>44777</v>
      </c>
      <c r="J835" s="1">
        <v>44789</v>
      </c>
      <c r="L835">
        <v>5</v>
      </c>
      <c r="M835">
        <v>2</v>
      </c>
      <c r="N835" t="s">
        <v>22</v>
      </c>
      <c r="O835">
        <v>542634</v>
      </c>
      <c r="U835">
        <f>Table1[[#This Row],[Interview_Date]]-Table1[[#This Row],[Application_Date]]</f>
        <v>12</v>
      </c>
      <c r="V835" t="str">
        <f>IF(OR(Table1[[#This Row],[Offer_Date]]="",Table1[[#This Row],[Interview_Date]]=""),"",Table1[[#This Row],[Offer_Date]]-Table1[[#This Row],[Interview_Date]])</f>
        <v/>
      </c>
    </row>
    <row r="836" spans="1:22" x14ac:dyDescent="0.3">
      <c r="A836" t="s">
        <v>891</v>
      </c>
      <c r="B836" t="s">
        <v>58</v>
      </c>
      <c r="C836" t="s">
        <v>25</v>
      </c>
      <c r="D836" t="s">
        <v>18</v>
      </c>
      <c r="E836">
        <v>40</v>
      </c>
      <c r="F836" t="s">
        <v>39</v>
      </c>
      <c r="G836" t="s">
        <v>44</v>
      </c>
      <c r="H836" t="s">
        <v>51</v>
      </c>
      <c r="I836" s="1">
        <v>44701</v>
      </c>
      <c r="J836" s="1">
        <v>44713</v>
      </c>
      <c r="L836">
        <v>5</v>
      </c>
      <c r="M836">
        <v>9</v>
      </c>
      <c r="N836" t="s">
        <v>28</v>
      </c>
      <c r="O836">
        <v>1013126</v>
      </c>
      <c r="U836">
        <f>Table1[[#This Row],[Interview_Date]]-Table1[[#This Row],[Application_Date]]</f>
        <v>12</v>
      </c>
      <c r="V836" t="str">
        <f>IF(OR(Table1[[#This Row],[Offer_Date]]="",Table1[[#This Row],[Interview_Date]]=""),"",Table1[[#This Row],[Offer_Date]]-Table1[[#This Row],[Interview_Date]])</f>
        <v/>
      </c>
    </row>
    <row r="837" spans="1:22" x14ac:dyDescent="0.3">
      <c r="A837" t="s">
        <v>892</v>
      </c>
      <c r="B837" t="s">
        <v>58</v>
      </c>
      <c r="C837" t="s">
        <v>30</v>
      </c>
      <c r="D837" t="s">
        <v>26</v>
      </c>
      <c r="E837">
        <v>26</v>
      </c>
      <c r="F837" t="s">
        <v>39</v>
      </c>
      <c r="G837" t="s">
        <v>60</v>
      </c>
      <c r="H837" t="s">
        <v>51</v>
      </c>
      <c r="I837" s="1">
        <v>44395</v>
      </c>
      <c r="J837" s="1">
        <v>44409</v>
      </c>
      <c r="K837" s="1">
        <v>44413</v>
      </c>
      <c r="L837">
        <v>5</v>
      </c>
      <c r="M837">
        <v>6</v>
      </c>
      <c r="N837" t="s">
        <v>28</v>
      </c>
      <c r="O837">
        <v>1015042</v>
      </c>
      <c r="U837">
        <f>Table1[[#This Row],[Interview_Date]]-Table1[[#This Row],[Application_Date]]</f>
        <v>14</v>
      </c>
      <c r="V837">
        <f>IF(OR(Table1[[#This Row],[Offer_Date]]="",Table1[[#This Row],[Interview_Date]]=""),"",Table1[[#This Row],[Offer_Date]]-Table1[[#This Row],[Interview_Date]])</f>
        <v>4</v>
      </c>
    </row>
    <row r="838" spans="1:22" x14ac:dyDescent="0.3">
      <c r="A838" t="s">
        <v>893</v>
      </c>
      <c r="B838" t="s">
        <v>16</v>
      </c>
      <c r="C838" t="s">
        <v>43</v>
      </c>
      <c r="D838" t="s">
        <v>18</v>
      </c>
      <c r="E838">
        <v>25</v>
      </c>
      <c r="F838" t="s">
        <v>31</v>
      </c>
      <c r="G838" t="s">
        <v>60</v>
      </c>
      <c r="H838" t="s">
        <v>36</v>
      </c>
      <c r="I838" s="1">
        <v>44699</v>
      </c>
      <c r="J838" s="1">
        <v>44703</v>
      </c>
      <c r="L838">
        <v>2</v>
      </c>
      <c r="M838">
        <v>8</v>
      </c>
      <c r="N838" t="s">
        <v>48</v>
      </c>
      <c r="O838">
        <v>786705</v>
      </c>
      <c r="U838">
        <f>Table1[[#This Row],[Interview_Date]]-Table1[[#This Row],[Application_Date]]</f>
        <v>4</v>
      </c>
      <c r="V838" t="str">
        <f>IF(OR(Table1[[#This Row],[Offer_Date]]="",Table1[[#This Row],[Interview_Date]]=""),"",Table1[[#This Row],[Offer_Date]]-Table1[[#This Row],[Interview_Date]])</f>
        <v/>
      </c>
    </row>
    <row r="839" spans="1:22" x14ac:dyDescent="0.3">
      <c r="A839" t="s">
        <v>894</v>
      </c>
      <c r="B839" t="s">
        <v>24</v>
      </c>
      <c r="C839" t="s">
        <v>25</v>
      </c>
      <c r="D839" t="s">
        <v>26</v>
      </c>
      <c r="E839">
        <v>40</v>
      </c>
      <c r="F839" t="s">
        <v>74</v>
      </c>
      <c r="G839" t="s">
        <v>20</v>
      </c>
      <c r="H839" t="s">
        <v>36</v>
      </c>
      <c r="I839" s="1">
        <v>44850</v>
      </c>
      <c r="J839" s="1">
        <v>44863</v>
      </c>
      <c r="K839" s="1">
        <v>44866</v>
      </c>
      <c r="L839">
        <v>5</v>
      </c>
      <c r="M839">
        <v>7</v>
      </c>
      <c r="N839" t="s">
        <v>45</v>
      </c>
      <c r="O839">
        <v>515663</v>
      </c>
      <c r="U839">
        <f>Table1[[#This Row],[Interview_Date]]-Table1[[#This Row],[Application_Date]]</f>
        <v>13</v>
      </c>
      <c r="V839">
        <f>IF(OR(Table1[[#This Row],[Offer_Date]]="",Table1[[#This Row],[Interview_Date]]=""),"",Table1[[#This Row],[Offer_Date]]-Table1[[#This Row],[Interview_Date]])</f>
        <v>3</v>
      </c>
    </row>
    <row r="840" spans="1:22" x14ac:dyDescent="0.3">
      <c r="A840" t="s">
        <v>895</v>
      </c>
      <c r="B840" t="s">
        <v>47</v>
      </c>
      <c r="C840" t="s">
        <v>94</v>
      </c>
      <c r="D840" t="s">
        <v>18</v>
      </c>
      <c r="E840">
        <v>34</v>
      </c>
      <c r="F840" t="s">
        <v>31</v>
      </c>
      <c r="G840" t="s">
        <v>35</v>
      </c>
      <c r="H840" t="s">
        <v>36</v>
      </c>
      <c r="I840" s="1">
        <v>45040</v>
      </c>
      <c r="J840" s="1">
        <v>45045</v>
      </c>
      <c r="L840">
        <v>2</v>
      </c>
      <c r="M840">
        <v>8</v>
      </c>
      <c r="N840" t="s">
        <v>28</v>
      </c>
      <c r="O840">
        <v>1129376</v>
      </c>
      <c r="U840">
        <f>Table1[[#This Row],[Interview_Date]]-Table1[[#This Row],[Application_Date]]</f>
        <v>5</v>
      </c>
      <c r="V840" t="str">
        <f>IF(OR(Table1[[#This Row],[Offer_Date]]="",Table1[[#This Row],[Interview_Date]]=""),"",Table1[[#This Row],[Offer_Date]]-Table1[[#This Row],[Interview_Date]])</f>
        <v/>
      </c>
    </row>
    <row r="841" spans="1:22" x14ac:dyDescent="0.3">
      <c r="A841" t="s">
        <v>896</v>
      </c>
      <c r="B841" t="s">
        <v>65</v>
      </c>
      <c r="C841" t="s">
        <v>30</v>
      </c>
      <c r="D841" t="s">
        <v>26</v>
      </c>
      <c r="E841">
        <v>32</v>
      </c>
      <c r="F841" t="s">
        <v>74</v>
      </c>
      <c r="G841" t="s">
        <v>20</v>
      </c>
      <c r="H841" t="s">
        <v>36</v>
      </c>
      <c r="I841" s="1">
        <v>45273</v>
      </c>
      <c r="J841" s="1">
        <v>45287</v>
      </c>
      <c r="L841">
        <v>4</v>
      </c>
      <c r="M841">
        <v>10</v>
      </c>
      <c r="N841" t="s">
        <v>48</v>
      </c>
      <c r="O841">
        <v>958744</v>
      </c>
      <c r="U841">
        <f>Table1[[#This Row],[Interview_Date]]-Table1[[#This Row],[Application_Date]]</f>
        <v>14</v>
      </c>
      <c r="V841" t="str">
        <f>IF(OR(Table1[[#This Row],[Offer_Date]]="",Table1[[#This Row],[Interview_Date]]=""),"",Table1[[#This Row],[Offer_Date]]-Table1[[#This Row],[Interview_Date]])</f>
        <v/>
      </c>
    </row>
    <row r="842" spans="1:22" x14ac:dyDescent="0.3">
      <c r="A842" t="s">
        <v>897</v>
      </c>
      <c r="B842" t="s">
        <v>24</v>
      </c>
      <c r="C842" t="s">
        <v>30</v>
      </c>
      <c r="D842" t="s">
        <v>26</v>
      </c>
      <c r="E842">
        <v>24</v>
      </c>
      <c r="F842" t="s">
        <v>74</v>
      </c>
      <c r="G842" t="s">
        <v>60</v>
      </c>
      <c r="H842" t="s">
        <v>54</v>
      </c>
      <c r="I842" s="1">
        <v>44431</v>
      </c>
      <c r="J842" s="1">
        <v>44435</v>
      </c>
      <c r="K842" s="1">
        <v>44442</v>
      </c>
      <c r="L842">
        <v>5</v>
      </c>
      <c r="M842">
        <v>8</v>
      </c>
      <c r="N842" t="s">
        <v>45</v>
      </c>
      <c r="O842">
        <v>545614</v>
      </c>
      <c r="U842">
        <f>Table1[[#This Row],[Interview_Date]]-Table1[[#This Row],[Application_Date]]</f>
        <v>4</v>
      </c>
      <c r="V842">
        <f>IF(OR(Table1[[#This Row],[Offer_Date]]="",Table1[[#This Row],[Interview_Date]]=""),"",Table1[[#This Row],[Offer_Date]]-Table1[[#This Row],[Interview_Date]])</f>
        <v>7</v>
      </c>
    </row>
    <row r="843" spans="1:22" x14ac:dyDescent="0.3">
      <c r="A843" t="s">
        <v>898</v>
      </c>
      <c r="B843" t="s">
        <v>65</v>
      </c>
      <c r="C843" t="s">
        <v>94</v>
      </c>
      <c r="D843" t="s">
        <v>26</v>
      </c>
      <c r="E843">
        <v>30</v>
      </c>
      <c r="F843" t="s">
        <v>39</v>
      </c>
      <c r="G843" t="s">
        <v>27</v>
      </c>
      <c r="H843" t="s">
        <v>21</v>
      </c>
      <c r="I843" s="1">
        <v>44244</v>
      </c>
      <c r="J843" s="1">
        <v>44252</v>
      </c>
      <c r="K843" s="1">
        <v>44256</v>
      </c>
      <c r="L843">
        <v>4</v>
      </c>
      <c r="M843">
        <v>3</v>
      </c>
      <c r="N843" t="s">
        <v>48</v>
      </c>
      <c r="O843">
        <v>508351</v>
      </c>
      <c r="U843">
        <f>Table1[[#This Row],[Interview_Date]]-Table1[[#This Row],[Application_Date]]</f>
        <v>8</v>
      </c>
      <c r="V843">
        <f>IF(OR(Table1[[#This Row],[Offer_Date]]="",Table1[[#This Row],[Interview_Date]]=""),"",Table1[[#This Row],[Offer_Date]]-Table1[[#This Row],[Interview_Date]])</f>
        <v>4</v>
      </c>
    </row>
    <row r="844" spans="1:22" x14ac:dyDescent="0.3">
      <c r="A844" t="s">
        <v>899</v>
      </c>
      <c r="B844" t="s">
        <v>42</v>
      </c>
      <c r="C844" t="s">
        <v>94</v>
      </c>
      <c r="D844" t="s">
        <v>26</v>
      </c>
      <c r="E844">
        <v>31</v>
      </c>
      <c r="F844" t="s">
        <v>39</v>
      </c>
      <c r="G844" t="s">
        <v>60</v>
      </c>
      <c r="H844" t="s">
        <v>40</v>
      </c>
      <c r="I844" s="1">
        <v>45202</v>
      </c>
      <c r="J844" s="1">
        <v>45212</v>
      </c>
      <c r="K844" s="1">
        <v>45219</v>
      </c>
      <c r="L844">
        <v>1</v>
      </c>
      <c r="M844">
        <v>6</v>
      </c>
      <c r="N844" t="s">
        <v>22</v>
      </c>
      <c r="O844">
        <v>689530</v>
      </c>
      <c r="U844">
        <f>Table1[[#This Row],[Interview_Date]]-Table1[[#This Row],[Application_Date]]</f>
        <v>10</v>
      </c>
      <c r="V844">
        <f>IF(OR(Table1[[#This Row],[Offer_Date]]="",Table1[[#This Row],[Interview_Date]]=""),"",Table1[[#This Row],[Offer_Date]]-Table1[[#This Row],[Interview_Date]])</f>
        <v>7</v>
      </c>
    </row>
    <row r="845" spans="1:22" x14ac:dyDescent="0.3">
      <c r="A845" t="s">
        <v>900</v>
      </c>
      <c r="B845" t="s">
        <v>47</v>
      </c>
      <c r="C845" t="s">
        <v>69</v>
      </c>
      <c r="D845" t="s">
        <v>26</v>
      </c>
      <c r="E845">
        <v>41</v>
      </c>
      <c r="F845" t="s">
        <v>34</v>
      </c>
      <c r="G845" t="s">
        <v>35</v>
      </c>
      <c r="H845" t="s">
        <v>21</v>
      </c>
      <c r="I845" s="1">
        <v>44204</v>
      </c>
      <c r="J845" s="1">
        <v>44218</v>
      </c>
      <c r="L845">
        <v>3</v>
      </c>
      <c r="M845">
        <v>8</v>
      </c>
      <c r="N845" t="s">
        <v>48</v>
      </c>
      <c r="O845">
        <v>636281</v>
      </c>
      <c r="U845">
        <f>Table1[[#This Row],[Interview_Date]]-Table1[[#This Row],[Application_Date]]</f>
        <v>14</v>
      </c>
      <c r="V845" t="str">
        <f>IF(OR(Table1[[#This Row],[Offer_Date]]="",Table1[[#This Row],[Interview_Date]]=""),"",Table1[[#This Row],[Offer_Date]]-Table1[[#This Row],[Interview_Date]])</f>
        <v/>
      </c>
    </row>
    <row r="846" spans="1:22" x14ac:dyDescent="0.3">
      <c r="A846" t="s">
        <v>901</v>
      </c>
      <c r="B846" t="s">
        <v>24</v>
      </c>
      <c r="C846" t="s">
        <v>69</v>
      </c>
      <c r="D846" t="s">
        <v>26</v>
      </c>
      <c r="E846">
        <v>41</v>
      </c>
      <c r="F846" t="s">
        <v>56</v>
      </c>
      <c r="G846" t="s">
        <v>44</v>
      </c>
      <c r="H846" t="s">
        <v>21</v>
      </c>
      <c r="I846" s="1">
        <v>45250</v>
      </c>
      <c r="J846" s="1">
        <v>45255</v>
      </c>
      <c r="L846">
        <v>5</v>
      </c>
      <c r="M846">
        <v>3</v>
      </c>
      <c r="N846" t="s">
        <v>48</v>
      </c>
      <c r="O846">
        <v>1091674</v>
      </c>
      <c r="U846">
        <f>Table1[[#This Row],[Interview_Date]]-Table1[[#This Row],[Application_Date]]</f>
        <v>5</v>
      </c>
      <c r="V846" t="str">
        <f>IF(OR(Table1[[#This Row],[Offer_Date]]="",Table1[[#This Row],[Interview_Date]]=""),"",Table1[[#This Row],[Offer_Date]]-Table1[[#This Row],[Interview_Date]])</f>
        <v/>
      </c>
    </row>
    <row r="847" spans="1:22" x14ac:dyDescent="0.3">
      <c r="A847" t="s">
        <v>902</v>
      </c>
      <c r="B847" t="s">
        <v>16</v>
      </c>
      <c r="C847" t="s">
        <v>69</v>
      </c>
      <c r="D847" t="s">
        <v>18</v>
      </c>
      <c r="E847">
        <v>39</v>
      </c>
      <c r="F847" t="s">
        <v>34</v>
      </c>
      <c r="G847" t="s">
        <v>20</v>
      </c>
      <c r="H847" t="s">
        <v>51</v>
      </c>
      <c r="I847" s="1">
        <v>44916</v>
      </c>
      <c r="J847" s="1">
        <v>44928</v>
      </c>
      <c r="L847">
        <v>5</v>
      </c>
      <c r="M847">
        <v>7</v>
      </c>
      <c r="N847" t="s">
        <v>22</v>
      </c>
      <c r="O847">
        <v>345525</v>
      </c>
      <c r="U847">
        <f>Table1[[#This Row],[Interview_Date]]-Table1[[#This Row],[Application_Date]]</f>
        <v>12</v>
      </c>
      <c r="V847" t="str">
        <f>IF(OR(Table1[[#This Row],[Offer_Date]]="",Table1[[#This Row],[Interview_Date]]=""),"",Table1[[#This Row],[Offer_Date]]-Table1[[#This Row],[Interview_Date]])</f>
        <v/>
      </c>
    </row>
    <row r="848" spans="1:22" x14ac:dyDescent="0.3">
      <c r="A848" t="s">
        <v>903</v>
      </c>
      <c r="B848" t="s">
        <v>58</v>
      </c>
      <c r="C848" t="s">
        <v>59</v>
      </c>
      <c r="D848" t="s">
        <v>26</v>
      </c>
      <c r="E848">
        <v>27</v>
      </c>
      <c r="F848" t="s">
        <v>19</v>
      </c>
      <c r="G848" t="s">
        <v>35</v>
      </c>
      <c r="H848" t="s">
        <v>40</v>
      </c>
      <c r="I848" s="1">
        <v>45258</v>
      </c>
      <c r="J848" s="1">
        <v>45264</v>
      </c>
      <c r="K848" s="1">
        <v>45271</v>
      </c>
      <c r="L848">
        <v>4</v>
      </c>
      <c r="M848">
        <v>5</v>
      </c>
      <c r="N848" t="s">
        <v>22</v>
      </c>
      <c r="O848">
        <v>503456</v>
      </c>
      <c r="U848">
        <f>Table1[[#This Row],[Interview_Date]]-Table1[[#This Row],[Application_Date]]</f>
        <v>6</v>
      </c>
      <c r="V848">
        <f>IF(OR(Table1[[#This Row],[Offer_Date]]="",Table1[[#This Row],[Interview_Date]]=""),"",Table1[[#This Row],[Offer_Date]]-Table1[[#This Row],[Interview_Date]])</f>
        <v>7</v>
      </c>
    </row>
    <row r="849" spans="1:22" x14ac:dyDescent="0.3">
      <c r="A849" t="s">
        <v>904</v>
      </c>
      <c r="B849" t="s">
        <v>65</v>
      </c>
      <c r="C849" t="s">
        <v>69</v>
      </c>
      <c r="D849" t="s">
        <v>26</v>
      </c>
      <c r="E849">
        <v>36</v>
      </c>
      <c r="F849" t="s">
        <v>56</v>
      </c>
      <c r="G849" t="s">
        <v>20</v>
      </c>
      <c r="H849" t="s">
        <v>40</v>
      </c>
      <c r="I849" s="1">
        <v>44667</v>
      </c>
      <c r="J849" s="1">
        <v>44671</v>
      </c>
      <c r="L849">
        <v>5</v>
      </c>
      <c r="M849">
        <v>9</v>
      </c>
      <c r="N849" t="s">
        <v>45</v>
      </c>
      <c r="O849">
        <v>929145</v>
      </c>
      <c r="U849">
        <f>Table1[[#This Row],[Interview_Date]]-Table1[[#This Row],[Application_Date]]</f>
        <v>4</v>
      </c>
      <c r="V849" t="str">
        <f>IF(OR(Table1[[#This Row],[Offer_Date]]="",Table1[[#This Row],[Interview_Date]]=""),"",Table1[[#This Row],[Offer_Date]]-Table1[[#This Row],[Interview_Date]])</f>
        <v/>
      </c>
    </row>
    <row r="850" spans="1:22" x14ac:dyDescent="0.3">
      <c r="A850" t="s">
        <v>905</v>
      </c>
      <c r="B850" t="s">
        <v>16</v>
      </c>
      <c r="C850" t="s">
        <v>17</v>
      </c>
      <c r="D850" t="s">
        <v>18</v>
      </c>
      <c r="E850">
        <v>35</v>
      </c>
      <c r="F850" t="s">
        <v>31</v>
      </c>
      <c r="G850" t="s">
        <v>27</v>
      </c>
      <c r="H850" t="s">
        <v>54</v>
      </c>
      <c r="I850" s="1">
        <v>44355</v>
      </c>
      <c r="J850" s="1">
        <v>44363</v>
      </c>
      <c r="K850" s="1">
        <v>44367</v>
      </c>
      <c r="L850">
        <v>3</v>
      </c>
      <c r="M850">
        <v>2</v>
      </c>
      <c r="N850" t="s">
        <v>22</v>
      </c>
      <c r="O850">
        <v>851784</v>
      </c>
      <c r="U850">
        <f>Table1[[#This Row],[Interview_Date]]-Table1[[#This Row],[Application_Date]]</f>
        <v>8</v>
      </c>
      <c r="V850">
        <f>IF(OR(Table1[[#This Row],[Offer_Date]]="",Table1[[#This Row],[Interview_Date]]=""),"",Table1[[#This Row],[Offer_Date]]-Table1[[#This Row],[Interview_Date]])</f>
        <v>4</v>
      </c>
    </row>
    <row r="851" spans="1:22" x14ac:dyDescent="0.3">
      <c r="A851" t="s">
        <v>906</v>
      </c>
      <c r="B851" t="s">
        <v>47</v>
      </c>
      <c r="C851" t="s">
        <v>69</v>
      </c>
      <c r="D851" t="s">
        <v>26</v>
      </c>
      <c r="E851">
        <v>27</v>
      </c>
      <c r="F851" t="s">
        <v>34</v>
      </c>
      <c r="G851" t="s">
        <v>60</v>
      </c>
      <c r="H851" t="s">
        <v>54</v>
      </c>
      <c r="I851" s="1">
        <v>44906</v>
      </c>
      <c r="J851" s="1">
        <v>44919</v>
      </c>
      <c r="L851">
        <v>4</v>
      </c>
      <c r="M851">
        <v>3</v>
      </c>
      <c r="N851" t="s">
        <v>45</v>
      </c>
      <c r="O851">
        <v>1008803</v>
      </c>
      <c r="U851">
        <f>Table1[[#This Row],[Interview_Date]]-Table1[[#This Row],[Application_Date]]</f>
        <v>13</v>
      </c>
      <c r="V851" t="str">
        <f>IF(OR(Table1[[#This Row],[Offer_Date]]="",Table1[[#This Row],[Interview_Date]]=""),"",Table1[[#This Row],[Offer_Date]]-Table1[[#This Row],[Interview_Date]])</f>
        <v/>
      </c>
    </row>
    <row r="852" spans="1:22" x14ac:dyDescent="0.3">
      <c r="A852" t="s">
        <v>907</v>
      </c>
      <c r="B852" t="s">
        <v>72</v>
      </c>
      <c r="C852" t="s">
        <v>17</v>
      </c>
      <c r="D852" t="s">
        <v>18</v>
      </c>
      <c r="E852">
        <v>44</v>
      </c>
      <c r="F852" t="s">
        <v>56</v>
      </c>
      <c r="G852" t="s">
        <v>60</v>
      </c>
      <c r="H852" t="s">
        <v>21</v>
      </c>
      <c r="I852" s="1">
        <v>44614</v>
      </c>
      <c r="J852" s="1">
        <v>44622</v>
      </c>
      <c r="L852">
        <v>4</v>
      </c>
      <c r="M852">
        <v>10</v>
      </c>
      <c r="N852" t="s">
        <v>22</v>
      </c>
      <c r="O852">
        <v>617084</v>
      </c>
      <c r="U852">
        <f>Table1[[#This Row],[Interview_Date]]-Table1[[#This Row],[Application_Date]]</f>
        <v>8</v>
      </c>
      <c r="V852" t="str">
        <f>IF(OR(Table1[[#This Row],[Offer_Date]]="",Table1[[#This Row],[Interview_Date]]=""),"",Table1[[#This Row],[Offer_Date]]-Table1[[#This Row],[Interview_Date]])</f>
        <v/>
      </c>
    </row>
    <row r="853" spans="1:22" x14ac:dyDescent="0.3">
      <c r="A853" t="s">
        <v>908</v>
      </c>
      <c r="B853" t="s">
        <v>38</v>
      </c>
      <c r="C853" t="s">
        <v>59</v>
      </c>
      <c r="D853" t="s">
        <v>18</v>
      </c>
      <c r="E853">
        <v>25</v>
      </c>
      <c r="F853" t="s">
        <v>31</v>
      </c>
      <c r="G853" t="s">
        <v>60</v>
      </c>
      <c r="H853" t="s">
        <v>40</v>
      </c>
      <c r="I853" s="1">
        <v>44446</v>
      </c>
      <c r="J853" s="1">
        <v>44457</v>
      </c>
      <c r="K853" s="1">
        <v>44459</v>
      </c>
      <c r="L853">
        <v>4</v>
      </c>
      <c r="M853">
        <v>3</v>
      </c>
      <c r="N853" t="s">
        <v>22</v>
      </c>
      <c r="O853">
        <v>479427</v>
      </c>
      <c r="U853">
        <f>Table1[[#This Row],[Interview_Date]]-Table1[[#This Row],[Application_Date]]</f>
        <v>11</v>
      </c>
      <c r="V853">
        <f>IF(OR(Table1[[#This Row],[Offer_Date]]="",Table1[[#This Row],[Interview_Date]]=""),"",Table1[[#This Row],[Offer_Date]]-Table1[[#This Row],[Interview_Date]])</f>
        <v>2</v>
      </c>
    </row>
    <row r="854" spans="1:22" x14ac:dyDescent="0.3">
      <c r="A854" t="s">
        <v>909</v>
      </c>
      <c r="B854" t="s">
        <v>33</v>
      </c>
      <c r="C854" t="s">
        <v>53</v>
      </c>
      <c r="D854" t="s">
        <v>18</v>
      </c>
      <c r="E854">
        <v>31</v>
      </c>
      <c r="F854" t="s">
        <v>31</v>
      </c>
      <c r="G854" t="s">
        <v>60</v>
      </c>
      <c r="H854" t="s">
        <v>51</v>
      </c>
      <c r="I854" s="1">
        <v>45030</v>
      </c>
      <c r="J854" s="1">
        <v>45040</v>
      </c>
      <c r="K854" s="1">
        <v>45044</v>
      </c>
      <c r="L854">
        <v>5</v>
      </c>
      <c r="M854">
        <v>9</v>
      </c>
      <c r="N854" t="s">
        <v>22</v>
      </c>
      <c r="O854">
        <v>838578</v>
      </c>
      <c r="U854">
        <f>Table1[[#This Row],[Interview_Date]]-Table1[[#This Row],[Application_Date]]</f>
        <v>10</v>
      </c>
      <c r="V854">
        <f>IF(OR(Table1[[#This Row],[Offer_Date]]="",Table1[[#This Row],[Interview_Date]]=""),"",Table1[[#This Row],[Offer_Date]]-Table1[[#This Row],[Interview_Date]])</f>
        <v>4</v>
      </c>
    </row>
    <row r="855" spans="1:22" x14ac:dyDescent="0.3">
      <c r="A855" t="s">
        <v>910</v>
      </c>
      <c r="B855" t="s">
        <v>16</v>
      </c>
      <c r="C855" t="s">
        <v>69</v>
      </c>
      <c r="D855" t="s">
        <v>18</v>
      </c>
      <c r="E855">
        <v>27</v>
      </c>
      <c r="F855" t="s">
        <v>74</v>
      </c>
      <c r="G855" t="s">
        <v>27</v>
      </c>
      <c r="H855" t="s">
        <v>54</v>
      </c>
      <c r="I855" s="1">
        <v>44459</v>
      </c>
      <c r="J855" s="1">
        <v>44467</v>
      </c>
      <c r="K855" s="1">
        <v>44472</v>
      </c>
      <c r="L855">
        <v>4</v>
      </c>
      <c r="M855">
        <v>9</v>
      </c>
      <c r="N855" t="s">
        <v>22</v>
      </c>
      <c r="O855">
        <v>809585</v>
      </c>
      <c r="U855">
        <f>Table1[[#This Row],[Interview_Date]]-Table1[[#This Row],[Application_Date]]</f>
        <v>8</v>
      </c>
      <c r="V855">
        <f>IF(OR(Table1[[#This Row],[Offer_Date]]="",Table1[[#This Row],[Interview_Date]]=""),"",Table1[[#This Row],[Offer_Date]]-Table1[[#This Row],[Interview_Date]])</f>
        <v>5</v>
      </c>
    </row>
    <row r="856" spans="1:22" x14ac:dyDescent="0.3">
      <c r="A856" t="s">
        <v>911</v>
      </c>
      <c r="B856" t="s">
        <v>42</v>
      </c>
      <c r="C856" t="s">
        <v>25</v>
      </c>
      <c r="D856" t="s">
        <v>26</v>
      </c>
      <c r="E856">
        <v>42</v>
      </c>
      <c r="F856" t="s">
        <v>56</v>
      </c>
      <c r="G856" t="s">
        <v>27</v>
      </c>
      <c r="H856" t="s">
        <v>51</v>
      </c>
      <c r="I856" s="1">
        <v>44686</v>
      </c>
      <c r="J856" s="1">
        <v>44689</v>
      </c>
      <c r="K856" s="1">
        <v>44696</v>
      </c>
      <c r="L856">
        <v>2</v>
      </c>
      <c r="M856">
        <v>7</v>
      </c>
      <c r="N856" t="s">
        <v>45</v>
      </c>
      <c r="O856">
        <v>752348</v>
      </c>
      <c r="U856">
        <f>Table1[[#This Row],[Interview_Date]]-Table1[[#This Row],[Application_Date]]</f>
        <v>3</v>
      </c>
      <c r="V856">
        <f>IF(OR(Table1[[#This Row],[Offer_Date]]="",Table1[[#This Row],[Interview_Date]]=""),"",Table1[[#This Row],[Offer_Date]]-Table1[[#This Row],[Interview_Date]])</f>
        <v>7</v>
      </c>
    </row>
    <row r="857" spans="1:22" x14ac:dyDescent="0.3">
      <c r="A857" t="s">
        <v>912</v>
      </c>
      <c r="B857" t="s">
        <v>24</v>
      </c>
      <c r="C857" t="s">
        <v>66</v>
      </c>
      <c r="D857" t="s">
        <v>26</v>
      </c>
      <c r="E857">
        <v>29</v>
      </c>
      <c r="F857" t="s">
        <v>56</v>
      </c>
      <c r="G857" t="s">
        <v>27</v>
      </c>
      <c r="H857" t="s">
        <v>51</v>
      </c>
      <c r="I857" s="1">
        <v>45016</v>
      </c>
      <c r="J857" s="1">
        <v>45030</v>
      </c>
      <c r="K857" s="1">
        <v>45036</v>
      </c>
      <c r="L857">
        <v>1</v>
      </c>
      <c r="M857">
        <v>3</v>
      </c>
      <c r="N857" t="s">
        <v>22</v>
      </c>
      <c r="O857">
        <v>919814</v>
      </c>
      <c r="U857">
        <f>Table1[[#This Row],[Interview_Date]]-Table1[[#This Row],[Application_Date]]</f>
        <v>14</v>
      </c>
      <c r="V857">
        <f>IF(OR(Table1[[#This Row],[Offer_Date]]="",Table1[[#This Row],[Interview_Date]]=""),"",Table1[[#This Row],[Offer_Date]]-Table1[[#This Row],[Interview_Date]])</f>
        <v>6</v>
      </c>
    </row>
    <row r="858" spans="1:22" x14ac:dyDescent="0.3">
      <c r="A858" t="s">
        <v>913</v>
      </c>
      <c r="B858" t="s">
        <v>24</v>
      </c>
      <c r="C858" t="s">
        <v>69</v>
      </c>
      <c r="D858" t="s">
        <v>18</v>
      </c>
      <c r="E858">
        <v>39</v>
      </c>
      <c r="F858" t="s">
        <v>39</v>
      </c>
      <c r="G858" t="s">
        <v>35</v>
      </c>
      <c r="H858" t="s">
        <v>36</v>
      </c>
      <c r="I858" s="1">
        <v>44645</v>
      </c>
      <c r="J858" s="1">
        <v>44653</v>
      </c>
      <c r="L858">
        <v>5</v>
      </c>
      <c r="M858">
        <v>4</v>
      </c>
      <c r="N858" t="s">
        <v>22</v>
      </c>
      <c r="O858">
        <v>596918</v>
      </c>
      <c r="U858">
        <f>Table1[[#This Row],[Interview_Date]]-Table1[[#This Row],[Application_Date]]</f>
        <v>8</v>
      </c>
      <c r="V858" t="str">
        <f>IF(OR(Table1[[#This Row],[Offer_Date]]="",Table1[[#This Row],[Interview_Date]]=""),"",Table1[[#This Row],[Offer_Date]]-Table1[[#This Row],[Interview_Date]])</f>
        <v/>
      </c>
    </row>
    <row r="859" spans="1:22" x14ac:dyDescent="0.3">
      <c r="A859" t="s">
        <v>914</v>
      </c>
      <c r="B859" t="s">
        <v>16</v>
      </c>
      <c r="C859" t="s">
        <v>17</v>
      </c>
      <c r="D859" t="s">
        <v>26</v>
      </c>
      <c r="E859">
        <v>30</v>
      </c>
      <c r="F859" t="s">
        <v>74</v>
      </c>
      <c r="G859" t="s">
        <v>60</v>
      </c>
      <c r="H859" t="s">
        <v>40</v>
      </c>
      <c r="I859" s="1">
        <v>45353</v>
      </c>
      <c r="J859" s="1">
        <v>45362</v>
      </c>
      <c r="K859" s="1">
        <v>45369</v>
      </c>
      <c r="L859">
        <v>2</v>
      </c>
      <c r="M859">
        <v>5</v>
      </c>
      <c r="N859" t="s">
        <v>48</v>
      </c>
      <c r="O859">
        <v>318007</v>
      </c>
      <c r="U859">
        <f>Table1[[#This Row],[Interview_Date]]-Table1[[#This Row],[Application_Date]]</f>
        <v>9</v>
      </c>
      <c r="V859">
        <f>IF(OR(Table1[[#This Row],[Offer_Date]]="",Table1[[#This Row],[Interview_Date]]=""),"",Table1[[#This Row],[Offer_Date]]-Table1[[#This Row],[Interview_Date]])</f>
        <v>7</v>
      </c>
    </row>
    <row r="860" spans="1:22" x14ac:dyDescent="0.3">
      <c r="A860" t="s">
        <v>915</v>
      </c>
      <c r="B860" t="s">
        <v>16</v>
      </c>
      <c r="C860" t="s">
        <v>66</v>
      </c>
      <c r="D860" t="s">
        <v>18</v>
      </c>
      <c r="E860">
        <v>23</v>
      </c>
      <c r="F860" t="s">
        <v>34</v>
      </c>
      <c r="G860" t="s">
        <v>20</v>
      </c>
      <c r="H860" t="s">
        <v>51</v>
      </c>
      <c r="I860" s="1">
        <v>44930</v>
      </c>
      <c r="J860" s="1">
        <v>44937</v>
      </c>
      <c r="L860">
        <v>5</v>
      </c>
      <c r="M860">
        <v>5</v>
      </c>
      <c r="N860" t="s">
        <v>45</v>
      </c>
      <c r="O860">
        <v>1005581</v>
      </c>
      <c r="U860">
        <f>Table1[[#This Row],[Interview_Date]]-Table1[[#This Row],[Application_Date]]</f>
        <v>7</v>
      </c>
      <c r="V860" t="str">
        <f>IF(OR(Table1[[#This Row],[Offer_Date]]="",Table1[[#This Row],[Interview_Date]]=""),"",Table1[[#This Row],[Offer_Date]]-Table1[[#This Row],[Interview_Date]])</f>
        <v/>
      </c>
    </row>
    <row r="861" spans="1:22" x14ac:dyDescent="0.3">
      <c r="A861" t="s">
        <v>916</v>
      </c>
      <c r="B861" t="s">
        <v>16</v>
      </c>
      <c r="C861" t="s">
        <v>69</v>
      </c>
      <c r="D861" t="s">
        <v>26</v>
      </c>
      <c r="E861">
        <v>28</v>
      </c>
      <c r="F861" t="s">
        <v>74</v>
      </c>
      <c r="G861" t="s">
        <v>35</v>
      </c>
      <c r="H861" t="s">
        <v>36</v>
      </c>
      <c r="I861" s="1">
        <v>44239</v>
      </c>
      <c r="J861" s="1">
        <v>44247</v>
      </c>
      <c r="K861" s="1">
        <v>44252</v>
      </c>
      <c r="L861">
        <v>3</v>
      </c>
      <c r="M861">
        <v>3</v>
      </c>
      <c r="N861" t="s">
        <v>28</v>
      </c>
      <c r="O861">
        <v>490363</v>
      </c>
      <c r="U861">
        <f>Table1[[#This Row],[Interview_Date]]-Table1[[#This Row],[Application_Date]]</f>
        <v>8</v>
      </c>
      <c r="V861">
        <f>IF(OR(Table1[[#This Row],[Offer_Date]]="",Table1[[#This Row],[Interview_Date]]=""),"",Table1[[#This Row],[Offer_Date]]-Table1[[#This Row],[Interview_Date]])</f>
        <v>5</v>
      </c>
    </row>
    <row r="862" spans="1:22" x14ac:dyDescent="0.3">
      <c r="A862" t="s">
        <v>917</v>
      </c>
      <c r="B862" t="s">
        <v>58</v>
      </c>
      <c r="C862" t="s">
        <v>30</v>
      </c>
      <c r="D862" t="s">
        <v>18</v>
      </c>
      <c r="E862">
        <v>27</v>
      </c>
      <c r="F862" t="s">
        <v>34</v>
      </c>
      <c r="G862" t="s">
        <v>20</v>
      </c>
      <c r="H862" t="s">
        <v>54</v>
      </c>
      <c r="I862" s="1">
        <v>44871</v>
      </c>
      <c r="J862" s="1">
        <v>44875</v>
      </c>
      <c r="K862" s="1">
        <v>44881</v>
      </c>
      <c r="L862">
        <v>1</v>
      </c>
      <c r="M862">
        <v>4</v>
      </c>
      <c r="N862" t="s">
        <v>48</v>
      </c>
      <c r="O862">
        <v>759090</v>
      </c>
      <c r="U862">
        <f>Table1[[#This Row],[Interview_Date]]-Table1[[#This Row],[Application_Date]]</f>
        <v>4</v>
      </c>
      <c r="V862">
        <f>IF(OR(Table1[[#This Row],[Offer_Date]]="",Table1[[#This Row],[Interview_Date]]=""),"",Table1[[#This Row],[Offer_Date]]-Table1[[#This Row],[Interview_Date]])</f>
        <v>6</v>
      </c>
    </row>
    <row r="863" spans="1:22" x14ac:dyDescent="0.3">
      <c r="A863" t="s">
        <v>918</v>
      </c>
      <c r="B863" t="s">
        <v>42</v>
      </c>
      <c r="C863" t="s">
        <v>30</v>
      </c>
      <c r="D863" t="s">
        <v>18</v>
      </c>
      <c r="E863">
        <v>30</v>
      </c>
      <c r="F863" t="s">
        <v>34</v>
      </c>
      <c r="G863" t="s">
        <v>35</v>
      </c>
      <c r="H863" t="s">
        <v>54</v>
      </c>
      <c r="I863" s="1">
        <v>44497</v>
      </c>
      <c r="J863" s="1">
        <v>44505</v>
      </c>
      <c r="K863" s="1">
        <v>44509</v>
      </c>
      <c r="L863">
        <v>5</v>
      </c>
      <c r="M863">
        <v>2</v>
      </c>
      <c r="N863" t="s">
        <v>48</v>
      </c>
      <c r="O863">
        <v>684043</v>
      </c>
      <c r="U863">
        <f>Table1[[#This Row],[Interview_Date]]-Table1[[#This Row],[Application_Date]]</f>
        <v>8</v>
      </c>
      <c r="V863">
        <f>IF(OR(Table1[[#This Row],[Offer_Date]]="",Table1[[#This Row],[Interview_Date]]=""),"",Table1[[#This Row],[Offer_Date]]-Table1[[#This Row],[Interview_Date]])</f>
        <v>4</v>
      </c>
    </row>
    <row r="864" spans="1:22" x14ac:dyDescent="0.3">
      <c r="A864" t="s">
        <v>919</v>
      </c>
      <c r="B864" t="s">
        <v>72</v>
      </c>
      <c r="C864" t="s">
        <v>50</v>
      </c>
      <c r="D864" t="s">
        <v>18</v>
      </c>
      <c r="E864">
        <v>33</v>
      </c>
      <c r="F864" t="s">
        <v>34</v>
      </c>
      <c r="G864" t="s">
        <v>60</v>
      </c>
      <c r="H864" t="s">
        <v>36</v>
      </c>
      <c r="I864" s="1">
        <v>44762</v>
      </c>
      <c r="J864" s="1">
        <v>44774</v>
      </c>
      <c r="L864">
        <v>3</v>
      </c>
      <c r="M864">
        <v>4</v>
      </c>
      <c r="N864" t="s">
        <v>45</v>
      </c>
      <c r="O864">
        <v>877390</v>
      </c>
      <c r="U864">
        <f>Table1[[#This Row],[Interview_Date]]-Table1[[#This Row],[Application_Date]]</f>
        <v>12</v>
      </c>
      <c r="V864" t="str">
        <f>IF(OR(Table1[[#This Row],[Offer_Date]]="",Table1[[#This Row],[Interview_Date]]=""),"",Table1[[#This Row],[Offer_Date]]-Table1[[#This Row],[Interview_Date]])</f>
        <v/>
      </c>
    </row>
    <row r="865" spans="1:22" x14ac:dyDescent="0.3">
      <c r="A865" t="s">
        <v>920</v>
      </c>
      <c r="B865" t="s">
        <v>63</v>
      </c>
      <c r="C865" t="s">
        <v>50</v>
      </c>
      <c r="D865" t="s">
        <v>18</v>
      </c>
      <c r="E865">
        <v>23</v>
      </c>
      <c r="F865" t="s">
        <v>34</v>
      </c>
      <c r="G865" t="s">
        <v>27</v>
      </c>
      <c r="H865" t="s">
        <v>21</v>
      </c>
      <c r="I865" s="1">
        <v>45390</v>
      </c>
      <c r="J865" s="1">
        <v>45393</v>
      </c>
      <c r="K865" s="1">
        <v>45397</v>
      </c>
      <c r="L865">
        <v>4</v>
      </c>
      <c r="M865">
        <v>3</v>
      </c>
      <c r="N865" t="s">
        <v>22</v>
      </c>
      <c r="O865">
        <v>752505</v>
      </c>
      <c r="U865">
        <f>Table1[[#This Row],[Interview_Date]]-Table1[[#This Row],[Application_Date]]</f>
        <v>3</v>
      </c>
      <c r="V865">
        <f>IF(OR(Table1[[#This Row],[Offer_Date]]="",Table1[[#This Row],[Interview_Date]]=""),"",Table1[[#This Row],[Offer_Date]]-Table1[[#This Row],[Interview_Date]])</f>
        <v>4</v>
      </c>
    </row>
    <row r="866" spans="1:22" x14ac:dyDescent="0.3">
      <c r="A866" t="s">
        <v>921</v>
      </c>
      <c r="B866" t="s">
        <v>33</v>
      </c>
      <c r="C866" t="s">
        <v>50</v>
      </c>
      <c r="D866" t="s">
        <v>18</v>
      </c>
      <c r="E866">
        <v>32</v>
      </c>
      <c r="F866" t="s">
        <v>56</v>
      </c>
      <c r="G866" t="s">
        <v>20</v>
      </c>
      <c r="H866" t="s">
        <v>51</v>
      </c>
      <c r="I866" s="1">
        <v>44475</v>
      </c>
      <c r="J866" s="1">
        <v>44490</v>
      </c>
      <c r="L866">
        <v>4</v>
      </c>
      <c r="M866">
        <v>9</v>
      </c>
      <c r="N866" t="s">
        <v>48</v>
      </c>
      <c r="O866">
        <v>1030682</v>
      </c>
      <c r="U866">
        <f>Table1[[#This Row],[Interview_Date]]-Table1[[#This Row],[Application_Date]]</f>
        <v>15</v>
      </c>
      <c r="V866" t="str">
        <f>IF(OR(Table1[[#This Row],[Offer_Date]]="",Table1[[#This Row],[Interview_Date]]=""),"",Table1[[#This Row],[Offer_Date]]-Table1[[#This Row],[Interview_Date]])</f>
        <v/>
      </c>
    </row>
    <row r="867" spans="1:22" x14ac:dyDescent="0.3">
      <c r="A867" t="s">
        <v>922</v>
      </c>
      <c r="B867" t="s">
        <v>33</v>
      </c>
      <c r="C867" t="s">
        <v>17</v>
      </c>
      <c r="D867" t="s">
        <v>26</v>
      </c>
      <c r="E867">
        <v>28</v>
      </c>
      <c r="F867" t="s">
        <v>39</v>
      </c>
      <c r="G867" t="s">
        <v>60</v>
      </c>
      <c r="H867" t="s">
        <v>51</v>
      </c>
      <c r="I867" s="1">
        <v>45309</v>
      </c>
      <c r="J867" s="1">
        <v>45319</v>
      </c>
      <c r="K867" s="1">
        <v>45324</v>
      </c>
      <c r="L867">
        <v>3</v>
      </c>
      <c r="M867">
        <v>5</v>
      </c>
      <c r="N867" t="s">
        <v>48</v>
      </c>
      <c r="O867">
        <v>786500</v>
      </c>
      <c r="U867">
        <f>Table1[[#This Row],[Interview_Date]]-Table1[[#This Row],[Application_Date]]</f>
        <v>10</v>
      </c>
      <c r="V867">
        <f>IF(OR(Table1[[#This Row],[Offer_Date]]="",Table1[[#This Row],[Interview_Date]]=""),"",Table1[[#This Row],[Offer_Date]]-Table1[[#This Row],[Interview_Date]])</f>
        <v>5</v>
      </c>
    </row>
    <row r="868" spans="1:22" x14ac:dyDescent="0.3">
      <c r="A868" t="s">
        <v>923</v>
      </c>
      <c r="B868" t="s">
        <v>58</v>
      </c>
      <c r="C868" t="s">
        <v>94</v>
      </c>
      <c r="D868" t="s">
        <v>18</v>
      </c>
      <c r="E868">
        <v>41</v>
      </c>
      <c r="F868" t="s">
        <v>74</v>
      </c>
      <c r="G868" t="s">
        <v>60</v>
      </c>
      <c r="H868" t="s">
        <v>51</v>
      </c>
      <c r="I868" s="1">
        <v>45170</v>
      </c>
      <c r="J868" s="1">
        <v>45185</v>
      </c>
      <c r="L868">
        <v>3</v>
      </c>
      <c r="M868">
        <v>8</v>
      </c>
      <c r="N868" t="s">
        <v>22</v>
      </c>
      <c r="O868">
        <v>1034650</v>
      </c>
      <c r="U868">
        <f>Table1[[#This Row],[Interview_Date]]-Table1[[#This Row],[Application_Date]]</f>
        <v>15</v>
      </c>
      <c r="V868" t="str">
        <f>IF(OR(Table1[[#This Row],[Offer_Date]]="",Table1[[#This Row],[Interview_Date]]=""),"",Table1[[#This Row],[Offer_Date]]-Table1[[#This Row],[Interview_Date]])</f>
        <v/>
      </c>
    </row>
    <row r="869" spans="1:22" x14ac:dyDescent="0.3">
      <c r="A869" t="s">
        <v>924</v>
      </c>
      <c r="B869" t="s">
        <v>47</v>
      </c>
      <c r="C869" t="s">
        <v>50</v>
      </c>
      <c r="D869" t="s">
        <v>26</v>
      </c>
      <c r="E869">
        <v>32</v>
      </c>
      <c r="F869" t="s">
        <v>39</v>
      </c>
      <c r="G869" t="s">
        <v>20</v>
      </c>
      <c r="H869" t="s">
        <v>21</v>
      </c>
      <c r="I869" s="1">
        <v>44705</v>
      </c>
      <c r="J869" s="1">
        <v>44708</v>
      </c>
      <c r="L869">
        <v>2</v>
      </c>
      <c r="M869">
        <v>9</v>
      </c>
      <c r="N869" t="s">
        <v>28</v>
      </c>
      <c r="O869">
        <v>530361</v>
      </c>
      <c r="U869">
        <f>Table1[[#This Row],[Interview_Date]]-Table1[[#This Row],[Application_Date]]</f>
        <v>3</v>
      </c>
      <c r="V869" t="str">
        <f>IF(OR(Table1[[#This Row],[Offer_Date]]="",Table1[[#This Row],[Interview_Date]]=""),"",Table1[[#This Row],[Offer_Date]]-Table1[[#This Row],[Interview_Date]])</f>
        <v/>
      </c>
    </row>
    <row r="870" spans="1:22" x14ac:dyDescent="0.3">
      <c r="A870" t="s">
        <v>925</v>
      </c>
      <c r="B870" t="s">
        <v>58</v>
      </c>
      <c r="C870" t="s">
        <v>17</v>
      </c>
      <c r="D870" t="s">
        <v>26</v>
      </c>
      <c r="E870">
        <v>32</v>
      </c>
      <c r="F870" t="s">
        <v>39</v>
      </c>
      <c r="G870" t="s">
        <v>60</v>
      </c>
      <c r="H870" t="s">
        <v>36</v>
      </c>
      <c r="I870" s="1">
        <v>45266</v>
      </c>
      <c r="J870" s="1">
        <v>45272</v>
      </c>
      <c r="L870">
        <v>3</v>
      </c>
      <c r="M870">
        <v>4</v>
      </c>
      <c r="N870" t="s">
        <v>48</v>
      </c>
      <c r="O870">
        <v>346109</v>
      </c>
      <c r="U870">
        <f>Table1[[#This Row],[Interview_Date]]-Table1[[#This Row],[Application_Date]]</f>
        <v>6</v>
      </c>
      <c r="V870" t="str">
        <f>IF(OR(Table1[[#This Row],[Offer_Date]]="",Table1[[#This Row],[Interview_Date]]=""),"",Table1[[#This Row],[Offer_Date]]-Table1[[#This Row],[Interview_Date]])</f>
        <v/>
      </c>
    </row>
    <row r="871" spans="1:22" x14ac:dyDescent="0.3">
      <c r="A871" t="s">
        <v>926</v>
      </c>
      <c r="B871" t="s">
        <v>72</v>
      </c>
      <c r="C871" t="s">
        <v>17</v>
      </c>
      <c r="D871" t="s">
        <v>26</v>
      </c>
      <c r="E871">
        <v>35</v>
      </c>
      <c r="F871" t="s">
        <v>39</v>
      </c>
      <c r="G871" t="s">
        <v>44</v>
      </c>
      <c r="H871" t="s">
        <v>54</v>
      </c>
      <c r="I871" s="1">
        <v>45317</v>
      </c>
      <c r="J871" s="1">
        <v>45320</v>
      </c>
      <c r="K871" s="1">
        <v>45324</v>
      </c>
      <c r="L871">
        <v>4</v>
      </c>
      <c r="M871">
        <v>7</v>
      </c>
      <c r="N871" t="s">
        <v>28</v>
      </c>
      <c r="O871">
        <v>878912</v>
      </c>
      <c r="U871">
        <f>Table1[[#This Row],[Interview_Date]]-Table1[[#This Row],[Application_Date]]</f>
        <v>3</v>
      </c>
      <c r="V871">
        <f>IF(OR(Table1[[#This Row],[Offer_Date]]="",Table1[[#This Row],[Interview_Date]]=""),"",Table1[[#This Row],[Offer_Date]]-Table1[[#This Row],[Interview_Date]])</f>
        <v>4</v>
      </c>
    </row>
    <row r="872" spans="1:22" x14ac:dyDescent="0.3">
      <c r="A872" t="s">
        <v>927</v>
      </c>
      <c r="B872" t="s">
        <v>58</v>
      </c>
      <c r="C872" t="s">
        <v>66</v>
      </c>
      <c r="D872" t="s">
        <v>26</v>
      </c>
      <c r="E872">
        <v>22</v>
      </c>
      <c r="F872" t="s">
        <v>56</v>
      </c>
      <c r="G872" t="s">
        <v>35</v>
      </c>
      <c r="H872" t="s">
        <v>21</v>
      </c>
      <c r="I872" s="1">
        <v>44811</v>
      </c>
      <c r="J872" s="1">
        <v>44824</v>
      </c>
      <c r="K872" s="1">
        <v>44826</v>
      </c>
      <c r="L872">
        <v>1</v>
      </c>
      <c r="M872">
        <v>6</v>
      </c>
      <c r="N872" t="s">
        <v>45</v>
      </c>
      <c r="O872">
        <v>536581</v>
      </c>
      <c r="U872">
        <f>Table1[[#This Row],[Interview_Date]]-Table1[[#This Row],[Application_Date]]</f>
        <v>13</v>
      </c>
      <c r="V872">
        <f>IF(OR(Table1[[#This Row],[Offer_Date]]="",Table1[[#This Row],[Interview_Date]]=""),"",Table1[[#This Row],[Offer_Date]]-Table1[[#This Row],[Interview_Date]])</f>
        <v>2</v>
      </c>
    </row>
    <row r="873" spans="1:22" x14ac:dyDescent="0.3">
      <c r="A873" t="s">
        <v>928</v>
      </c>
      <c r="B873" t="s">
        <v>38</v>
      </c>
      <c r="C873" t="s">
        <v>43</v>
      </c>
      <c r="D873" t="s">
        <v>26</v>
      </c>
      <c r="E873">
        <v>45</v>
      </c>
      <c r="F873" t="s">
        <v>39</v>
      </c>
      <c r="G873" t="s">
        <v>27</v>
      </c>
      <c r="H873" t="s">
        <v>54</v>
      </c>
      <c r="I873" s="1">
        <v>44750</v>
      </c>
      <c r="J873" s="1">
        <v>44758</v>
      </c>
      <c r="L873">
        <v>5</v>
      </c>
      <c r="M873">
        <v>5</v>
      </c>
      <c r="N873" t="s">
        <v>22</v>
      </c>
      <c r="O873">
        <v>640884</v>
      </c>
      <c r="U873">
        <f>Table1[[#This Row],[Interview_Date]]-Table1[[#This Row],[Application_Date]]</f>
        <v>8</v>
      </c>
      <c r="V873" t="str">
        <f>IF(OR(Table1[[#This Row],[Offer_Date]]="",Table1[[#This Row],[Interview_Date]]=""),"",Table1[[#This Row],[Offer_Date]]-Table1[[#This Row],[Interview_Date]])</f>
        <v/>
      </c>
    </row>
    <row r="874" spans="1:22" x14ac:dyDescent="0.3">
      <c r="A874" t="s">
        <v>929</v>
      </c>
      <c r="B874" t="s">
        <v>24</v>
      </c>
      <c r="C874" t="s">
        <v>30</v>
      </c>
      <c r="D874" t="s">
        <v>18</v>
      </c>
      <c r="E874">
        <v>22</v>
      </c>
      <c r="F874" t="s">
        <v>39</v>
      </c>
      <c r="G874" t="s">
        <v>60</v>
      </c>
      <c r="H874" t="s">
        <v>21</v>
      </c>
      <c r="I874" s="1">
        <v>45351</v>
      </c>
      <c r="J874" s="1">
        <v>45360</v>
      </c>
      <c r="L874">
        <v>2</v>
      </c>
      <c r="M874">
        <v>4</v>
      </c>
      <c r="N874" t="s">
        <v>28</v>
      </c>
      <c r="O874">
        <v>1021400</v>
      </c>
      <c r="U874">
        <f>Table1[[#This Row],[Interview_Date]]-Table1[[#This Row],[Application_Date]]</f>
        <v>9</v>
      </c>
      <c r="V874" t="str">
        <f>IF(OR(Table1[[#This Row],[Offer_Date]]="",Table1[[#This Row],[Interview_Date]]=""),"",Table1[[#This Row],[Offer_Date]]-Table1[[#This Row],[Interview_Date]])</f>
        <v/>
      </c>
    </row>
    <row r="875" spans="1:22" x14ac:dyDescent="0.3">
      <c r="A875" t="s">
        <v>930</v>
      </c>
      <c r="B875" t="s">
        <v>63</v>
      </c>
      <c r="C875" t="s">
        <v>50</v>
      </c>
      <c r="D875" t="s">
        <v>26</v>
      </c>
      <c r="E875">
        <v>41</v>
      </c>
      <c r="F875" t="s">
        <v>31</v>
      </c>
      <c r="G875" t="s">
        <v>20</v>
      </c>
      <c r="H875" t="s">
        <v>54</v>
      </c>
      <c r="I875" s="1">
        <v>44879</v>
      </c>
      <c r="J875" s="1">
        <v>44884</v>
      </c>
      <c r="K875" s="1">
        <v>44891</v>
      </c>
      <c r="L875">
        <v>3</v>
      </c>
      <c r="M875">
        <v>9</v>
      </c>
      <c r="N875" t="s">
        <v>22</v>
      </c>
      <c r="O875">
        <v>782323</v>
      </c>
      <c r="U875">
        <f>Table1[[#This Row],[Interview_Date]]-Table1[[#This Row],[Application_Date]]</f>
        <v>5</v>
      </c>
      <c r="V875">
        <f>IF(OR(Table1[[#This Row],[Offer_Date]]="",Table1[[#This Row],[Interview_Date]]=""),"",Table1[[#This Row],[Offer_Date]]-Table1[[#This Row],[Interview_Date]])</f>
        <v>7</v>
      </c>
    </row>
    <row r="876" spans="1:22" x14ac:dyDescent="0.3">
      <c r="A876" t="s">
        <v>931</v>
      </c>
      <c r="B876" t="s">
        <v>16</v>
      </c>
      <c r="C876" t="s">
        <v>66</v>
      </c>
      <c r="D876" t="s">
        <v>26</v>
      </c>
      <c r="E876">
        <v>26</v>
      </c>
      <c r="F876" t="s">
        <v>19</v>
      </c>
      <c r="G876" t="s">
        <v>44</v>
      </c>
      <c r="H876" t="s">
        <v>36</v>
      </c>
      <c r="I876" s="1">
        <v>44964</v>
      </c>
      <c r="J876" s="1">
        <v>44971</v>
      </c>
      <c r="L876">
        <v>4</v>
      </c>
      <c r="M876">
        <v>7</v>
      </c>
      <c r="N876" t="s">
        <v>48</v>
      </c>
      <c r="O876">
        <v>826497</v>
      </c>
      <c r="U876">
        <f>Table1[[#This Row],[Interview_Date]]-Table1[[#This Row],[Application_Date]]</f>
        <v>7</v>
      </c>
      <c r="V876" t="str">
        <f>IF(OR(Table1[[#This Row],[Offer_Date]]="",Table1[[#This Row],[Interview_Date]]=""),"",Table1[[#This Row],[Offer_Date]]-Table1[[#This Row],[Interview_Date]])</f>
        <v/>
      </c>
    </row>
    <row r="877" spans="1:22" x14ac:dyDescent="0.3">
      <c r="A877" t="s">
        <v>932</v>
      </c>
      <c r="B877" t="s">
        <v>72</v>
      </c>
      <c r="C877" t="s">
        <v>25</v>
      </c>
      <c r="D877" t="s">
        <v>26</v>
      </c>
      <c r="E877">
        <v>26</v>
      </c>
      <c r="F877" t="s">
        <v>34</v>
      </c>
      <c r="G877" t="s">
        <v>60</v>
      </c>
      <c r="H877" t="s">
        <v>51</v>
      </c>
      <c r="I877" s="1">
        <v>45134</v>
      </c>
      <c r="J877" s="1">
        <v>45140</v>
      </c>
      <c r="K877" s="1">
        <v>45145</v>
      </c>
      <c r="L877">
        <v>1</v>
      </c>
      <c r="M877">
        <v>6</v>
      </c>
      <c r="N877" t="s">
        <v>48</v>
      </c>
      <c r="O877">
        <v>959463</v>
      </c>
      <c r="U877">
        <f>Table1[[#This Row],[Interview_Date]]-Table1[[#This Row],[Application_Date]]</f>
        <v>6</v>
      </c>
      <c r="V877">
        <f>IF(OR(Table1[[#This Row],[Offer_Date]]="",Table1[[#This Row],[Interview_Date]]=""),"",Table1[[#This Row],[Offer_Date]]-Table1[[#This Row],[Interview_Date]])</f>
        <v>5</v>
      </c>
    </row>
    <row r="878" spans="1:22" x14ac:dyDescent="0.3">
      <c r="A878" t="s">
        <v>933</v>
      </c>
      <c r="B878" t="s">
        <v>58</v>
      </c>
      <c r="C878" t="s">
        <v>43</v>
      </c>
      <c r="D878" t="s">
        <v>26</v>
      </c>
      <c r="E878">
        <v>30</v>
      </c>
      <c r="F878" t="s">
        <v>19</v>
      </c>
      <c r="G878" t="s">
        <v>44</v>
      </c>
      <c r="H878" t="s">
        <v>40</v>
      </c>
      <c r="I878" s="1">
        <v>44670</v>
      </c>
      <c r="J878" s="1">
        <v>44673</v>
      </c>
      <c r="K878" s="1">
        <v>44679</v>
      </c>
      <c r="L878">
        <v>4</v>
      </c>
      <c r="M878">
        <v>5</v>
      </c>
      <c r="N878" t="s">
        <v>22</v>
      </c>
      <c r="O878">
        <v>306725</v>
      </c>
      <c r="U878">
        <f>Table1[[#This Row],[Interview_Date]]-Table1[[#This Row],[Application_Date]]</f>
        <v>3</v>
      </c>
      <c r="V878">
        <f>IF(OR(Table1[[#This Row],[Offer_Date]]="",Table1[[#This Row],[Interview_Date]]=""),"",Table1[[#This Row],[Offer_Date]]-Table1[[#This Row],[Interview_Date]])</f>
        <v>6</v>
      </c>
    </row>
    <row r="879" spans="1:22" x14ac:dyDescent="0.3">
      <c r="A879" t="s">
        <v>934</v>
      </c>
      <c r="B879" t="s">
        <v>33</v>
      </c>
      <c r="C879" t="s">
        <v>59</v>
      </c>
      <c r="D879" t="s">
        <v>26</v>
      </c>
      <c r="E879">
        <v>33</v>
      </c>
      <c r="F879" t="s">
        <v>34</v>
      </c>
      <c r="G879" t="s">
        <v>60</v>
      </c>
      <c r="H879" t="s">
        <v>51</v>
      </c>
      <c r="I879" s="1">
        <v>44200</v>
      </c>
      <c r="J879" s="1">
        <v>44212</v>
      </c>
      <c r="K879" s="1">
        <v>44217</v>
      </c>
      <c r="L879">
        <v>1</v>
      </c>
      <c r="M879">
        <v>10</v>
      </c>
      <c r="N879" t="s">
        <v>45</v>
      </c>
      <c r="O879">
        <v>1055932</v>
      </c>
      <c r="U879">
        <f>Table1[[#This Row],[Interview_Date]]-Table1[[#This Row],[Application_Date]]</f>
        <v>12</v>
      </c>
      <c r="V879">
        <f>IF(OR(Table1[[#This Row],[Offer_Date]]="",Table1[[#This Row],[Interview_Date]]=""),"",Table1[[#This Row],[Offer_Date]]-Table1[[#This Row],[Interview_Date]])</f>
        <v>5</v>
      </c>
    </row>
    <row r="880" spans="1:22" x14ac:dyDescent="0.3">
      <c r="A880" t="s">
        <v>935</v>
      </c>
      <c r="B880" t="s">
        <v>38</v>
      </c>
      <c r="C880" t="s">
        <v>59</v>
      </c>
      <c r="D880" t="s">
        <v>18</v>
      </c>
      <c r="E880">
        <v>39</v>
      </c>
      <c r="F880" t="s">
        <v>31</v>
      </c>
      <c r="G880" t="s">
        <v>60</v>
      </c>
      <c r="H880" t="s">
        <v>54</v>
      </c>
      <c r="I880" s="1">
        <v>45294</v>
      </c>
      <c r="J880" s="1">
        <v>45301</v>
      </c>
      <c r="L880">
        <v>4</v>
      </c>
      <c r="M880">
        <v>3</v>
      </c>
      <c r="N880" t="s">
        <v>22</v>
      </c>
      <c r="O880">
        <v>693390</v>
      </c>
      <c r="U880">
        <f>Table1[[#This Row],[Interview_Date]]-Table1[[#This Row],[Application_Date]]</f>
        <v>7</v>
      </c>
      <c r="V880" t="str">
        <f>IF(OR(Table1[[#This Row],[Offer_Date]]="",Table1[[#This Row],[Interview_Date]]=""),"",Table1[[#This Row],[Offer_Date]]-Table1[[#This Row],[Interview_Date]])</f>
        <v/>
      </c>
    </row>
    <row r="881" spans="1:22" x14ac:dyDescent="0.3">
      <c r="A881" t="s">
        <v>936</v>
      </c>
      <c r="B881" t="s">
        <v>16</v>
      </c>
      <c r="C881" t="s">
        <v>69</v>
      </c>
      <c r="D881" t="s">
        <v>18</v>
      </c>
      <c r="E881">
        <v>37</v>
      </c>
      <c r="F881" t="s">
        <v>39</v>
      </c>
      <c r="G881" t="s">
        <v>44</v>
      </c>
      <c r="H881" t="s">
        <v>51</v>
      </c>
      <c r="I881" s="1">
        <v>44904</v>
      </c>
      <c r="J881" s="1">
        <v>44915</v>
      </c>
      <c r="K881" s="1">
        <v>44918</v>
      </c>
      <c r="L881">
        <v>4</v>
      </c>
      <c r="M881">
        <v>6</v>
      </c>
      <c r="N881" t="s">
        <v>28</v>
      </c>
      <c r="O881">
        <v>407218</v>
      </c>
      <c r="U881">
        <f>Table1[[#This Row],[Interview_Date]]-Table1[[#This Row],[Application_Date]]</f>
        <v>11</v>
      </c>
      <c r="V881">
        <f>IF(OR(Table1[[#This Row],[Offer_Date]]="",Table1[[#This Row],[Interview_Date]]=""),"",Table1[[#This Row],[Offer_Date]]-Table1[[#This Row],[Interview_Date]])</f>
        <v>3</v>
      </c>
    </row>
    <row r="882" spans="1:22" x14ac:dyDescent="0.3">
      <c r="A882" t="s">
        <v>937</v>
      </c>
      <c r="B882" t="s">
        <v>63</v>
      </c>
      <c r="C882" t="s">
        <v>43</v>
      </c>
      <c r="D882" t="s">
        <v>26</v>
      </c>
      <c r="E882">
        <v>21</v>
      </c>
      <c r="F882" t="s">
        <v>74</v>
      </c>
      <c r="G882" t="s">
        <v>44</v>
      </c>
      <c r="H882" t="s">
        <v>21</v>
      </c>
      <c r="I882" s="1">
        <v>45211</v>
      </c>
      <c r="J882" s="1">
        <v>45215</v>
      </c>
      <c r="L882">
        <v>5</v>
      </c>
      <c r="M882">
        <v>8</v>
      </c>
      <c r="N882" t="s">
        <v>22</v>
      </c>
      <c r="O882">
        <v>983172</v>
      </c>
      <c r="U882">
        <f>Table1[[#This Row],[Interview_Date]]-Table1[[#This Row],[Application_Date]]</f>
        <v>4</v>
      </c>
      <c r="V882" t="str">
        <f>IF(OR(Table1[[#This Row],[Offer_Date]]="",Table1[[#This Row],[Interview_Date]]=""),"",Table1[[#This Row],[Offer_Date]]-Table1[[#This Row],[Interview_Date]])</f>
        <v/>
      </c>
    </row>
    <row r="883" spans="1:22" x14ac:dyDescent="0.3">
      <c r="A883" t="s">
        <v>938</v>
      </c>
      <c r="B883" t="s">
        <v>33</v>
      </c>
      <c r="C883" t="s">
        <v>94</v>
      </c>
      <c r="D883" t="s">
        <v>18</v>
      </c>
      <c r="E883">
        <v>35</v>
      </c>
      <c r="F883" t="s">
        <v>34</v>
      </c>
      <c r="G883" t="s">
        <v>44</v>
      </c>
      <c r="H883" t="s">
        <v>54</v>
      </c>
      <c r="I883" s="1">
        <v>44477</v>
      </c>
      <c r="J883" s="1">
        <v>44490</v>
      </c>
      <c r="K883" s="1">
        <v>44492</v>
      </c>
      <c r="L883">
        <v>5</v>
      </c>
      <c r="M883">
        <v>9</v>
      </c>
      <c r="N883" t="s">
        <v>45</v>
      </c>
      <c r="O883">
        <v>958063</v>
      </c>
      <c r="U883">
        <f>Table1[[#This Row],[Interview_Date]]-Table1[[#This Row],[Application_Date]]</f>
        <v>13</v>
      </c>
      <c r="V883">
        <f>IF(OR(Table1[[#This Row],[Offer_Date]]="",Table1[[#This Row],[Interview_Date]]=""),"",Table1[[#This Row],[Offer_Date]]-Table1[[#This Row],[Interview_Date]])</f>
        <v>2</v>
      </c>
    </row>
    <row r="884" spans="1:22" x14ac:dyDescent="0.3">
      <c r="A884" t="s">
        <v>939</v>
      </c>
      <c r="B884" t="s">
        <v>58</v>
      </c>
      <c r="C884" t="s">
        <v>66</v>
      </c>
      <c r="D884" t="s">
        <v>26</v>
      </c>
      <c r="E884">
        <v>24</v>
      </c>
      <c r="F884" t="s">
        <v>56</v>
      </c>
      <c r="G884" t="s">
        <v>20</v>
      </c>
      <c r="H884" t="s">
        <v>21</v>
      </c>
      <c r="I884" s="1">
        <v>44554</v>
      </c>
      <c r="J884" s="1">
        <v>44567</v>
      </c>
      <c r="K884" s="1">
        <v>44570</v>
      </c>
      <c r="L884">
        <v>2</v>
      </c>
      <c r="M884">
        <v>2</v>
      </c>
      <c r="N884" t="s">
        <v>28</v>
      </c>
      <c r="O884">
        <v>962294</v>
      </c>
      <c r="U884">
        <f>Table1[[#This Row],[Interview_Date]]-Table1[[#This Row],[Application_Date]]</f>
        <v>13</v>
      </c>
      <c r="V884">
        <f>IF(OR(Table1[[#This Row],[Offer_Date]]="",Table1[[#This Row],[Interview_Date]]=""),"",Table1[[#This Row],[Offer_Date]]-Table1[[#This Row],[Interview_Date]])</f>
        <v>3</v>
      </c>
    </row>
    <row r="885" spans="1:22" x14ac:dyDescent="0.3">
      <c r="A885" t="s">
        <v>940</v>
      </c>
      <c r="B885" t="s">
        <v>42</v>
      </c>
      <c r="C885" t="s">
        <v>53</v>
      </c>
      <c r="D885" t="s">
        <v>18</v>
      </c>
      <c r="E885">
        <v>35</v>
      </c>
      <c r="F885" t="s">
        <v>31</v>
      </c>
      <c r="G885" t="s">
        <v>35</v>
      </c>
      <c r="H885" t="s">
        <v>21</v>
      </c>
      <c r="I885" s="1">
        <v>44784</v>
      </c>
      <c r="J885" s="1">
        <v>44791</v>
      </c>
      <c r="L885">
        <v>5</v>
      </c>
      <c r="M885">
        <v>10</v>
      </c>
      <c r="N885" t="s">
        <v>45</v>
      </c>
      <c r="O885">
        <v>323600</v>
      </c>
      <c r="U885">
        <f>Table1[[#This Row],[Interview_Date]]-Table1[[#This Row],[Application_Date]]</f>
        <v>7</v>
      </c>
      <c r="V885" t="str">
        <f>IF(OR(Table1[[#This Row],[Offer_Date]]="",Table1[[#This Row],[Interview_Date]]=""),"",Table1[[#This Row],[Offer_Date]]-Table1[[#This Row],[Interview_Date]])</f>
        <v/>
      </c>
    </row>
    <row r="886" spans="1:22" x14ac:dyDescent="0.3">
      <c r="A886" t="s">
        <v>941</v>
      </c>
      <c r="B886" t="s">
        <v>33</v>
      </c>
      <c r="C886" t="s">
        <v>17</v>
      </c>
      <c r="D886" t="s">
        <v>26</v>
      </c>
      <c r="E886">
        <v>24</v>
      </c>
      <c r="F886" t="s">
        <v>19</v>
      </c>
      <c r="G886" t="s">
        <v>27</v>
      </c>
      <c r="H886" t="s">
        <v>40</v>
      </c>
      <c r="I886" s="1">
        <v>45305</v>
      </c>
      <c r="J886" s="1">
        <v>45317</v>
      </c>
      <c r="K886" s="1">
        <v>45323</v>
      </c>
      <c r="L886">
        <v>1</v>
      </c>
      <c r="M886">
        <v>3</v>
      </c>
      <c r="N886" t="s">
        <v>48</v>
      </c>
      <c r="O886">
        <v>837959</v>
      </c>
      <c r="U886">
        <f>Table1[[#This Row],[Interview_Date]]-Table1[[#This Row],[Application_Date]]</f>
        <v>12</v>
      </c>
      <c r="V886">
        <f>IF(OR(Table1[[#This Row],[Offer_Date]]="",Table1[[#This Row],[Interview_Date]]=""),"",Table1[[#This Row],[Offer_Date]]-Table1[[#This Row],[Interview_Date]])</f>
        <v>6</v>
      </c>
    </row>
    <row r="887" spans="1:22" x14ac:dyDescent="0.3">
      <c r="A887" t="s">
        <v>942</v>
      </c>
      <c r="B887" t="s">
        <v>24</v>
      </c>
      <c r="C887" t="s">
        <v>53</v>
      </c>
      <c r="D887" t="s">
        <v>26</v>
      </c>
      <c r="E887">
        <v>39</v>
      </c>
      <c r="F887" t="s">
        <v>74</v>
      </c>
      <c r="G887" t="s">
        <v>35</v>
      </c>
      <c r="H887" t="s">
        <v>36</v>
      </c>
      <c r="I887" s="1">
        <v>45183</v>
      </c>
      <c r="J887" s="1">
        <v>45193</v>
      </c>
      <c r="L887">
        <v>1</v>
      </c>
      <c r="M887">
        <v>5</v>
      </c>
      <c r="N887" t="s">
        <v>48</v>
      </c>
      <c r="O887">
        <v>938006</v>
      </c>
      <c r="U887">
        <f>Table1[[#This Row],[Interview_Date]]-Table1[[#This Row],[Application_Date]]</f>
        <v>10</v>
      </c>
      <c r="V887" t="str">
        <f>IF(OR(Table1[[#This Row],[Offer_Date]]="",Table1[[#This Row],[Interview_Date]]=""),"",Table1[[#This Row],[Offer_Date]]-Table1[[#This Row],[Interview_Date]])</f>
        <v/>
      </c>
    </row>
    <row r="888" spans="1:22" x14ac:dyDescent="0.3">
      <c r="A888" t="s">
        <v>943</v>
      </c>
      <c r="B888" t="s">
        <v>72</v>
      </c>
      <c r="C888" t="s">
        <v>66</v>
      </c>
      <c r="D888" t="s">
        <v>18</v>
      </c>
      <c r="E888">
        <v>34</v>
      </c>
      <c r="F888" t="s">
        <v>31</v>
      </c>
      <c r="G888" t="s">
        <v>20</v>
      </c>
      <c r="H888" t="s">
        <v>36</v>
      </c>
      <c r="I888" s="1">
        <v>45179</v>
      </c>
      <c r="J888" s="1">
        <v>45190</v>
      </c>
      <c r="K888" s="1">
        <v>45192</v>
      </c>
      <c r="L888">
        <v>4</v>
      </c>
      <c r="M888">
        <v>2</v>
      </c>
      <c r="N888" t="s">
        <v>22</v>
      </c>
      <c r="O888">
        <v>701182</v>
      </c>
      <c r="U888">
        <f>Table1[[#This Row],[Interview_Date]]-Table1[[#This Row],[Application_Date]]</f>
        <v>11</v>
      </c>
      <c r="V888">
        <f>IF(OR(Table1[[#This Row],[Offer_Date]]="",Table1[[#This Row],[Interview_Date]]=""),"",Table1[[#This Row],[Offer_Date]]-Table1[[#This Row],[Interview_Date]])</f>
        <v>2</v>
      </c>
    </row>
    <row r="889" spans="1:22" x14ac:dyDescent="0.3">
      <c r="A889" t="s">
        <v>944</v>
      </c>
      <c r="B889" t="s">
        <v>38</v>
      </c>
      <c r="C889" t="s">
        <v>66</v>
      </c>
      <c r="D889" t="s">
        <v>26</v>
      </c>
      <c r="E889">
        <v>25</v>
      </c>
      <c r="F889" t="s">
        <v>74</v>
      </c>
      <c r="G889" t="s">
        <v>44</v>
      </c>
      <c r="H889" t="s">
        <v>36</v>
      </c>
      <c r="I889" s="1">
        <v>44239</v>
      </c>
      <c r="J889" s="1">
        <v>44247</v>
      </c>
      <c r="L889">
        <v>3</v>
      </c>
      <c r="M889">
        <v>2</v>
      </c>
      <c r="N889" t="s">
        <v>45</v>
      </c>
      <c r="O889">
        <v>617305</v>
      </c>
      <c r="U889">
        <f>Table1[[#This Row],[Interview_Date]]-Table1[[#This Row],[Application_Date]]</f>
        <v>8</v>
      </c>
      <c r="V889" t="str">
        <f>IF(OR(Table1[[#This Row],[Offer_Date]]="",Table1[[#This Row],[Interview_Date]]=""),"",Table1[[#This Row],[Offer_Date]]-Table1[[#This Row],[Interview_Date]])</f>
        <v/>
      </c>
    </row>
    <row r="890" spans="1:22" x14ac:dyDescent="0.3">
      <c r="A890" t="s">
        <v>945</v>
      </c>
      <c r="B890" t="s">
        <v>33</v>
      </c>
      <c r="C890" t="s">
        <v>59</v>
      </c>
      <c r="D890" t="s">
        <v>26</v>
      </c>
      <c r="E890">
        <v>29</v>
      </c>
      <c r="F890" t="s">
        <v>74</v>
      </c>
      <c r="G890" t="s">
        <v>44</v>
      </c>
      <c r="H890" t="s">
        <v>36</v>
      </c>
      <c r="I890" s="1">
        <v>45296</v>
      </c>
      <c r="J890" s="1">
        <v>45306</v>
      </c>
      <c r="L890">
        <v>5</v>
      </c>
      <c r="M890">
        <v>9</v>
      </c>
      <c r="N890" t="s">
        <v>48</v>
      </c>
      <c r="O890">
        <v>620170</v>
      </c>
      <c r="U890">
        <f>Table1[[#This Row],[Interview_Date]]-Table1[[#This Row],[Application_Date]]</f>
        <v>10</v>
      </c>
      <c r="V890" t="str">
        <f>IF(OR(Table1[[#This Row],[Offer_Date]]="",Table1[[#This Row],[Interview_Date]]=""),"",Table1[[#This Row],[Offer_Date]]-Table1[[#This Row],[Interview_Date]])</f>
        <v/>
      </c>
    </row>
    <row r="891" spans="1:22" x14ac:dyDescent="0.3">
      <c r="A891" t="s">
        <v>946</v>
      </c>
      <c r="B891" t="s">
        <v>33</v>
      </c>
      <c r="C891" t="s">
        <v>66</v>
      </c>
      <c r="D891" t="s">
        <v>18</v>
      </c>
      <c r="E891">
        <v>26</v>
      </c>
      <c r="F891" t="s">
        <v>19</v>
      </c>
      <c r="G891" t="s">
        <v>60</v>
      </c>
      <c r="H891" t="s">
        <v>40</v>
      </c>
      <c r="I891" s="1">
        <v>44375</v>
      </c>
      <c r="J891" s="1">
        <v>44390</v>
      </c>
      <c r="K891" s="1">
        <v>44397</v>
      </c>
      <c r="L891">
        <v>2</v>
      </c>
      <c r="M891">
        <v>4</v>
      </c>
      <c r="N891" t="s">
        <v>28</v>
      </c>
      <c r="O891">
        <v>777890</v>
      </c>
      <c r="U891">
        <f>Table1[[#This Row],[Interview_Date]]-Table1[[#This Row],[Application_Date]]</f>
        <v>15</v>
      </c>
      <c r="V891">
        <f>IF(OR(Table1[[#This Row],[Offer_Date]]="",Table1[[#This Row],[Interview_Date]]=""),"",Table1[[#This Row],[Offer_Date]]-Table1[[#This Row],[Interview_Date]])</f>
        <v>7</v>
      </c>
    </row>
    <row r="892" spans="1:22" x14ac:dyDescent="0.3">
      <c r="A892" t="s">
        <v>947</v>
      </c>
      <c r="B892" t="s">
        <v>65</v>
      </c>
      <c r="C892" t="s">
        <v>53</v>
      </c>
      <c r="D892" t="s">
        <v>18</v>
      </c>
      <c r="E892">
        <v>30</v>
      </c>
      <c r="F892" t="s">
        <v>74</v>
      </c>
      <c r="G892" t="s">
        <v>60</v>
      </c>
      <c r="H892" t="s">
        <v>54</v>
      </c>
      <c r="I892" s="1">
        <v>45194</v>
      </c>
      <c r="J892" s="1">
        <v>45208</v>
      </c>
      <c r="L892">
        <v>1</v>
      </c>
      <c r="M892">
        <v>9</v>
      </c>
      <c r="N892" t="s">
        <v>45</v>
      </c>
      <c r="O892">
        <v>855363</v>
      </c>
      <c r="U892">
        <f>Table1[[#This Row],[Interview_Date]]-Table1[[#This Row],[Application_Date]]</f>
        <v>14</v>
      </c>
      <c r="V892" t="str">
        <f>IF(OR(Table1[[#This Row],[Offer_Date]]="",Table1[[#This Row],[Interview_Date]]=""),"",Table1[[#This Row],[Offer_Date]]-Table1[[#This Row],[Interview_Date]])</f>
        <v/>
      </c>
    </row>
    <row r="893" spans="1:22" x14ac:dyDescent="0.3">
      <c r="A893" t="s">
        <v>948</v>
      </c>
      <c r="B893" t="s">
        <v>47</v>
      </c>
      <c r="C893" t="s">
        <v>53</v>
      </c>
      <c r="D893" t="s">
        <v>26</v>
      </c>
      <c r="E893">
        <v>24</v>
      </c>
      <c r="F893" t="s">
        <v>39</v>
      </c>
      <c r="G893" t="s">
        <v>27</v>
      </c>
      <c r="H893" t="s">
        <v>40</v>
      </c>
      <c r="I893" s="1">
        <v>44858</v>
      </c>
      <c r="J893" s="1">
        <v>44869</v>
      </c>
      <c r="L893">
        <v>5</v>
      </c>
      <c r="M893">
        <v>3</v>
      </c>
      <c r="N893" t="s">
        <v>45</v>
      </c>
      <c r="O893">
        <v>839058</v>
      </c>
      <c r="U893">
        <f>Table1[[#This Row],[Interview_Date]]-Table1[[#This Row],[Application_Date]]</f>
        <v>11</v>
      </c>
      <c r="V893" t="str">
        <f>IF(OR(Table1[[#This Row],[Offer_Date]]="",Table1[[#This Row],[Interview_Date]]=""),"",Table1[[#This Row],[Offer_Date]]-Table1[[#This Row],[Interview_Date]])</f>
        <v/>
      </c>
    </row>
    <row r="894" spans="1:22" x14ac:dyDescent="0.3">
      <c r="A894" t="s">
        <v>949</v>
      </c>
      <c r="B894" t="s">
        <v>58</v>
      </c>
      <c r="C894" t="s">
        <v>69</v>
      </c>
      <c r="D894" t="s">
        <v>26</v>
      </c>
      <c r="E894">
        <v>33</v>
      </c>
      <c r="F894" t="s">
        <v>19</v>
      </c>
      <c r="G894" t="s">
        <v>35</v>
      </c>
      <c r="H894" t="s">
        <v>40</v>
      </c>
      <c r="I894" s="1">
        <v>45052</v>
      </c>
      <c r="J894" s="1">
        <v>45060</v>
      </c>
      <c r="K894" s="1">
        <v>45062</v>
      </c>
      <c r="L894">
        <v>5</v>
      </c>
      <c r="M894">
        <v>4</v>
      </c>
      <c r="N894" t="s">
        <v>28</v>
      </c>
      <c r="O894">
        <v>451808</v>
      </c>
      <c r="U894">
        <f>Table1[[#This Row],[Interview_Date]]-Table1[[#This Row],[Application_Date]]</f>
        <v>8</v>
      </c>
      <c r="V894">
        <f>IF(OR(Table1[[#This Row],[Offer_Date]]="",Table1[[#This Row],[Interview_Date]]=""),"",Table1[[#This Row],[Offer_Date]]-Table1[[#This Row],[Interview_Date]])</f>
        <v>2</v>
      </c>
    </row>
    <row r="895" spans="1:22" x14ac:dyDescent="0.3">
      <c r="A895" t="s">
        <v>950</v>
      </c>
      <c r="B895" t="s">
        <v>24</v>
      </c>
      <c r="C895" t="s">
        <v>17</v>
      </c>
      <c r="D895" t="s">
        <v>18</v>
      </c>
      <c r="E895">
        <v>45</v>
      </c>
      <c r="F895" t="s">
        <v>31</v>
      </c>
      <c r="G895" t="s">
        <v>35</v>
      </c>
      <c r="H895" t="s">
        <v>40</v>
      </c>
      <c r="I895" s="1">
        <v>44992</v>
      </c>
      <c r="J895" s="1">
        <v>45000</v>
      </c>
      <c r="K895" s="1">
        <v>45003</v>
      </c>
      <c r="L895">
        <v>5</v>
      </c>
      <c r="M895">
        <v>3</v>
      </c>
      <c r="N895" t="s">
        <v>22</v>
      </c>
      <c r="O895">
        <v>799284</v>
      </c>
      <c r="U895">
        <f>Table1[[#This Row],[Interview_Date]]-Table1[[#This Row],[Application_Date]]</f>
        <v>8</v>
      </c>
      <c r="V895">
        <f>IF(OR(Table1[[#This Row],[Offer_Date]]="",Table1[[#This Row],[Interview_Date]]=""),"",Table1[[#This Row],[Offer_Date]]-Table1[[#This Row],[Interview_Date]])</f>
        <v>3</v>
      </c>
    </row>
    <row r="896" spans="1:22" x14ac:dyDescent="0.3">
      <c r="A896" t="s">
        <v>951</v>
      </c>
      <c r="B896" t="s">
        <v>65</v>
      </c>
      <c r="C896" t="s">
        <v>66</v>
      </c>
      <c r="D896" t="s">
        <v>18</v>
      </c>
      <c r="E896">
        <v>32</v>
      </c>
      <c r="F896" t="s">
        <v>19</v>
      </c>
      <c r="G896" t="s">
        <v>27</v>
      </c>
      <c r="H896" t="s">
        <v>21</v>
      </c>
      <c r="I896" s="1">
        <v>45132</v>
      </c>
      <c r="J896" s="1">
        <v>45144</v>
      </c>
      <c r="L896">
        <v>3</v>
      </c>
      <c r="M896">
        <v>3</v>
      </c>
      <c r="N896" t="s">
        <v>45</v>
      </c>
      <c r="O896">
        <v>632922</v>
      </c>
      <c r="U896">
        <f>Table1[[#This Row],[Interview_Date]]-Table1[[#This Row],[Application_Date]]</f>
        <v>12</v>
      </c>
      <c r="V896" t="str">
        <f>IF(OR(Table1[[#This Row],[Offer_Date]]="",Table1[[#This Row],[Interview_Date]]=""),"",Table1[[#This Row],[Offer_Date]]-Table1[[#This Row],[Interview_Date]])</f>
        <v/>
      </c>
    </row>
    <row r="897" spans="1:22" x14ac:dyDescent="0.3">
      <c r="A897" t="s">
        <v>952</v>
      </c>
      <c r="B897" t="s">
        <v>38</v>
      </c>
      <c r="C897" t="s">
        <v>69</v>
      </c>
      <c r="D897" t="s">
        <v>18</v>
      </c>
      <c r="E897">
        <v>39</v>
      </c>
      <c r="F897" t="s">
        <v>19</v>
      </c>
      <c r="G897" t="s">
        <v>27</v>
      </c>
      <c r="H897" t="s">
        <v>36</v>
      </c>
      <c r="I897" s="1">
        <v>44912</v>
      </c>
      <c r="J897" s="1">
        <v>44918</v>
      </c>
      <c r="L897">
        <v>3</v>
      </c>
      <c r="M897">
        <v>4</v>
      </c>
      <c r="N897" t="s">
        <v>48</v>
      </c>
      <c r="O897">
        <v>763773</v>
      </c>
      <c r="U897">
        <f>Table1[[#This Row],[Interview_Date]]-Table1[[#This Row],[Application_Date]]</f>
        <v>6</v>
      </c>
      <c r="V897" t="str">
        <f>IF(OR(Table1[[#This Row],[Offer_Date]]="",Table1[[#This Row],[Interview_Date]]=""),"",Table1[[#This Row],[Offer_Date]]-Table1[[#This Row],[Interview_Date]])</f>
        <v/>
      </c>
    </row>
    <row r="898" spans="1:22" x14ac:dyDescent="0.3">
      <c r="A898" t="s">
        <v>953</v>
      </c>
      <c r="B898" t="s">
        <v>33</v>
      </c>
      <c r="C898" t="s">
        <v>59</v>
      </c>
      <c r="D898" t="s">
        <v>18</v>
      </c>
      <c r="E898">
        <v>26</v>
      </c>
      <c r="F898" t="s">
        <v>56</v>
      </c>
      <c r="G898" t="s">
        <v>60</v>
      </c>
      <c r="H898" t="s">
        <v>40</v>
      </c>
      <c r="I898" s="1">
        <v>44289</v>
      </c>
      <c r="J898" s="1">
        <v>44304</v>
      </c>
      <c r="K898" s="1">
        <v>44307</v>
      </c>
      <c r="L898">
        <v>4</v>
      </c>
      <c r="M898">
        <v>8</v>
      </c>
      <c r="N898" t="s">
        <v>28</v>
      </c>
      <c r="O898">
        <v>494683</v>
      </c>
      <c r="U898">
        <f>Table1[[#This Row],[Interview_Date]]-Table1[[#This Row],[Application_Date]]</f>
        <v>15</v>
      </c>
      <c r="V898">
        <f>IF(OR(Table1[[#This Row],[Offer_Date]]="",Table1[[#This Row],[Interview_Date]]=""),"",Table1[[#This Row],[Offer_Date]]-Table1[[#This Row],[Interview_Date]])</f>
        <v>3</v>
      </c>
    </row>
    <row r="899" spans="1:22" x14ac:dyDescent="0.3">
      <c r="A899" t="s">
        <v>954</v>
      </c>
      <c r="B899" t="s">
        <v>65</v>
      </c>
      <c r="C899" t="s">
        <v>94</v>
      </c>
      <c r="D899" t="s">
        <v>18</v>
      </c>
      <c r="E899">
        <v>40</v>
      </c>
      <c r="F899" t="s">
        <v>74</v>
      </c>
      <c r="G899" t="s">
        <v>20</v>
      </c>
      <c r="H899" t="s">
        <v>21</v>
      </c>
      <c r="I899" s="1">
        <v>45307</v>
      </c>
      <c r="J899" s="1">
        <v>45321</v>
      </c>
      <c r="L899">
        <v>5</v>
      </c>
      <c r="M899">
        <v>8</v>
      </c>
      <c r="N899" t="s">
        <v>28</v>
      </c>
      <c r="O899">
        <v>1081125</v>
      </c>
      <c r="U899">
        <f>Table1[[#This Row],[Interview_Date]]-Table1[[#This Row],[Application_Date]]</f>
        <v>14</v>
      </c>
      <c r="V899" t="str">
        <f>IF(OR(Table1[[#This Row],[Offer_Date]]="",Table1[[#This Row],[Interview_Date]]=""),"",Table1[[#This Row],[Offer_Date]]-Table1[[#This Row],[Interview_Date]])</f>
        <v/>
      </c>
    </row>
    <row r="900" spans="1:22" x14ac:dyDescent="0.3">
      <c r="A900" t="s">
        <v>955</v>
      </c>
      <c r="B900" t="s">
        <v>63</v>
      </c>
      <c r="C900" t="s">
        <v>50</v>
      </c>
      <c r="D900" t="s">
        <v>18</v>
      </c>
      <c r="E900">
        <v>43</v>
      </c>
      <c r="F900" t="s">
        <v>74</v>
      </c>
      <c r="G900" t="s">
        <v>27</v>
      </c>
      <c r="H900" t="s">
        <v>40</v>
      </c>
      <c r="I900" s="1">
        <v>44757</v>
      </c>
      <c r="J900" s="1">
        <v>44768</v>
      </c>
      <c r="K900" s="1">
        <v>44774</v>
      </c>
      <c r="L900">
        <v>5</v>
      </c>
      <c r="M900">
        <v>6</v>
      </c>
      <c r="N900" t="s">
        <v>45</v>
      </c>
      <c r="O900">
        <v>1108496</v>
      </c>
      <c r="U900">
        <f>Table1[[#This Row],[Interview_Date]]-Table1[[#This Row],[Application_Date]]</f>
        <v>11</v>
      </c>
      <c r="V900">
        <f>IF(OR(Table1[[#This Row],[Offer_Date]]="",Table1[[#This Row],[Interview_Date]]=""),"",Table1[[#This Row],[Offer_Date]]-Table1[[#This Row],[Interview_Date]])</f>
        <v>6</v>
      </c>
    </row>
    <row r="901" spans="1:22" x14ac:dyDescent="0.3">
      <c r="A901" t="s">
        <v>956</v>
      </c>
      <c r="B901" t="s">
        <v>33</v>
      </c>
      <c r="C901" t="s">
        <v>17</v>
      </c>
      <c r="D901" t="s">
        <v>26</v>
      </c>
      <c r="E901">
        <v>31</v>
      </c>
      <c r="F901" t="s">
        <v>39</v>
      </c>
      <c r="G901" t="s">
        <v>27</v>
      </c>
      <c r="H901" t="s">
        <v>51</v>
      </c>
      <c r="I901" s="1">
        <v>45275</v>
      </c>
      <c r="J901" s="1">
        <v>45282</v>
      </c>
      <c r="L901">
        <v>5</v>
      </c>
      <c r="M901">
        <v>3</v>
      </c>
      <c r="N901" t="s">
        <v>22</v>
      </c>
      <c r="O901">
        <v>403527</v>
      </c>
      <c r="U901">
        <f>Table1[[#This Row],[Interview_Date]]-Table1[[#This Row],[Application_Date]]</f>
        <v>7</v>
      </c>
      <c r="V901" t="str">
        <f>IF(OR(Table1[[#This Row],[Offer_Date]]="",Table1[[#This Row],[Interview_Date]]=""),"",Table1[[#This Row],[Offer_Date]]-Table1[[#This Row],[Interview_Date]])</f>
        <v/>
      </c>
    </row>
    <row r="902" spans="1:22" x14ac:dyDescent="0.3">
      <c r="A902" t="s">
        <v>957</v>
      </c>
      <c r="B902" t="s">
        <v>63</v>
      </c>
      <c r="C902" t="s">
        <v>69</v>
      </c>
      <c r="D902" t="s">
        <v>26</v>
      </c>
      <c r="E902">
        <v>33</v>
      </c>
      <c r="F902" t="s">
        <v>56</v>
      </c>
      <c r="G902" t="s">
        <v>20</v>
      </c>
      <c r="H902" t="s">
        <v>40</v>
      </c>
      <c r="I902" s="1">
        <v>44576</v>
      </c>
      <c r="J902" s="1">
        <v>44581</v>
      </c>
      <c r="K902" s="1">
        <v>44584</v>
      </c>
      <c r="L902">
        <v>2</v>
      </c>
      <c r="M902">
        <v>2</v>
      </c>
      <c r="N902" t="s">
        <v>45</v>
      </c>
      <c r="O902">
        <v>392132</v>
      </c>
      <c r="U902">
        <f>Table1[[#This Row],[Interview_Date]]-Table1[[#This Row],[Application_Date]]</f>
        <v>5</v>
      </c>
      <c r="V902">
        <f>IF(OR(Table1[[#This Row],[Offer_Date]]="",Table1[[#This Row],[Interview_Date]]=""),"",Table1[[#This Row],[Offer_Date]]-Table1[[#This Row],[Interview_Date]])</f>
        <v>3</v>
      </c>
    </row>
    <row r="903" spans="1:22" x14ac:dyDescent="0.3">
      <c r="A903" t="s">
        <v>958</v>
      </c>
      <c r="B903" t="s">
        <v>33</v>
      </c>
      <c r="C903" t="s">
        <v>43</v>
      </c>
      <c r="D903" t="s">
        <v>18</v>
      </c>
      <c r="E903">
        <v>45</v>
      </c>
      <c r="F903" t="s">
        <v>34</v>
      </c>
      <c r="G903" t="s">
        <v>35</v>
      </c>
      <c r="H903" t="s">
        <v>40</v>
      </c>
      <c r="I903" s="1">
        <v>44528</v>
      </c>
      <c r="J903" s="1">
        <v>44537</v>
      </c>
      <c r="K903" s="1">
        <v>44541</v>
      </c>
      <c r="L903">
        <v>4</v>
      </c>
      <c r="M903">
        <v>3</v>
      </c>
      <c r="N903" t="s">
        <v>48</v>
      </c>
      <c r="O903">
        <v>405160</v>
      </c>
      <c r="U903">
        <f>Table1[[#This Row],[Interview_Date]]-Table1[[#This Row],[Application_Date]]</f>
        <v>9</v>
      </c>
      <c r="V903">
        <f>IF(OR(Table1[[#This Row],[Offer_Date]]="",Table1[[#This Row],[Interview_Date]]=""),"",Table1[[#This Row],[Offer_Date]]-Table1[[#This Row],[Interview_Date]])</f>
        <v>4</v>
      </c>
    </row>
    <row r="904" spans="1:22" x14ac:dyDescent="0.3">
      <c r="A904" t="s">
        <v>959</v>
      </c>
      <c r="B904" t="s">
        <v>63</v>
      </c>
      <c r="C904" t="s">
        <v>53</v>
      </c>
      <c r="D904" t="s">
        <v>18</v>
      </c>
      <c r="E904">
        <v>43</v>
      </c>
      <c r="F904" t="s">
        <v>39</v>
      </c>
      <c r="G904" t="s">
        <v>20</v>
      </c>
      <c r="H904" t="s">
        <v>21</v>
      </c>
      <c r="I904" s="1">
        <v>44345</v>
      </c>
      <c r="J904" s="1">
        <v>44357</v>
      </c>
      <c r="K904" s="1">
        <v>44362</v>
      </c>
      <c r="L904">
        <v>4</v>
      </c>
      <c r="M904">
        <v>2</v>
      </c>
      <c r="N904" t="s">
        <v>48</v>
      </c>
      <c r="O904">
        <v>963409</v>
      </c>
      <c r="U904">
        <f>Table1[[#This Row],[Interview_Date]]-Table1[[#This Row],[Application_Date]]</f>
        <v>12</v>
      </c>
      <c r="V904">
        <f>IF(OR(Table1[[#This Row],[Offer_Date]]="",Table1[[#This Row],[Interview_Date]]=""),"",Table1[[#This Row],[Offer_Date]]-Table1[[#This Row],[Interview_Date]])</f>
        <v>5</v>
      </c>
    </row>
    <row r="905" spans="1:22" x14ac:dyDescent="0.3">
      <c r="A905" t="s">
        <v>960</v>
      </c>
      <c r="B905" t="s">
        <v>24</v>
      </c>
      <c r="C905" t="s">
        <v>59</v>
      </c>
      <c r="D905" t="s">
        <v>18</v>
      </c>
      <c r="E905">
        <v>38</v>
      </c>
      <c r="F905" t="s">
        <v>34</v>
      </c>
      <c r="G905" t="s">
        <v>44</v>
      </c>
      <c r="H905" t="s">
        <v>54</v>
      </c>
      <c r="I905" s="1">
        <v>44738</v>
      </c>
      <c r="J905" s="1">
        <v>44750</v>
      </c>
      <c r="K905" s="1">
        <v>44757</v>
      </c>
      <c r="L905">
        <v>5</v>
      </c>
      <c r="M905">
        <v>2</v>
      </c>
      <c r="N905" t="s">
        <v>45</v>
      </c>
      <c r="O905">
        <v>1001494</v>
      </c>
      <c r="U905">
        <f>Table1[[#This Row],[Interview_Date]]-Table1[[#This Row],[Application_Date]]</f>
        <v>12</v>
      </c>
      <c r="V905">
        <f>IF(OR(Table1[[#This Row],[Offer_Date]]="",Table1[[#This Row],[Interview_Date]]=""),"",Table1[[#This Row],[Offer_Date]]-Table1[[#This Row],[Interview_Date]])</f>
        <v>7</v>
      </c>
    </row>
    <row r="906" spans="1:22" x14ac:dyDescent="0.3">
      <c r="A906" t="s">
        <v>961</v>
      </c>
      <c r="B906" t="s">
        <v>38</v>
      </c>
      <c r="C906" t="s">
        <v>30</v>
      </c>
      <c r="D906" t="s">
        <v>18</v>
      </c>
      <c r="E906">
        <v>21</v>
      </c>
      <c r="F906" t="s">
        <v>74</v>
      </c>
      <c r="G906" t="s">
        <v>20</v>
      </c>
      <c r="H906" t="s">
        <v>36</v>
      </c>
      <c r="I906" s="1">
        <v>44439</v>
      </c>
      <c r="J906" s="1">
        <v>44451</v>
      </c>
      <c r="K906" s="1">
        <v>44453</v>
      </c>
      <c r="L906">
        <v>1</v>
      </c>
      <c r="M906">
        <v>5</v>
      </c>
      <c r="N906" t="s">
        <v>28</v>
      </c>
      <c r="O906">
        <v>676805</v>
      </c>
      <c r="U906">
        <f>Table1[[#This Row],[Interview_Date]]-Table1[[#This Row],[Application_Date]]</f>
        <v>12</v>
      </c>
      <c r="V906">
        <f>IF(OR(Table1[[#This Row],[Offer_Date]]="",Table1[[#This Row],[Interview_Date]]=""),"",Table1[[#This Row],[Offer_Date]]-Table1[[#This Row],[Interview_Date]])</f>
        <v>2</v>
      </c>
    </row>
    <row r="907" spans="1:22" x14ac:dyDescent="0.3">
      <c r="A907" t="s">
        <v>962</v>
      </c>
      <c r="B907" t="s">
        <v>42</v>
      </c>
      <c r="C907" t="s">
        <v>25</v>
      </c>
      <c r="D907" t="s">
        <v>18</v>
      </c>
      <c r="E907">
        <v>40</v>
      </c>
      <c r="F907" t="s">
        <v>31</v>
      </c>
      <c r="G907" t="s">
        <v>35</v>
      </c>
      <c r="H907" t="s">
        <v>40</v>
      </c>
      <c r="I907" s="1">
        <v>45046</v>
      </c>
      <c r="J907" s="1">
        <v>45058</v>
      </c>
      <c r="L907">
        <v>3</v>
      </c>
      <c r="M907">
        <v>3</v>
      </c>
      <c r="N907" t="s">
        <v>22</v>
      </c>
      <c r="O907">
        <v>312867</v>
      </c>
      <c r="U907">
        <f>Table1[[#This Row],[Interview_Date]]-Table1[[#This Row],[Application_Date]]</f>
        <v>12</v>
      </c>
      <c r="V907" t="str">
        <f>IF(OR(Table1[[#This Row],[Offer_Date]]="",Table1[[#This Row],[Interview_Date]]=""),"",Table1[[#This Row],[Offer_Date]]-Table1[[#This Row],[Interview_Date]])</f>
        <v/>
      </c>
    </row>
    <row r="908" spans="1:22" x14ac:dyDescent="0.3">
      <c r="A908" t="s">
        <v>963</v>
      </c>
      <c r="B908" t="s">
        <v>24</v>
      </c>
      <c r="C908" t="s">
        <v>17</v>
      </c>
      <c r="D908" t="s">
        <v>18</v>
      </c>
      <c r="E908">
        <v>37</v>
      </c>
      <c r="F908" t="s">
        <v>31</v>
      </c>
      <c r="G908" t="s">
        <v>60</v>
      </c>
      <c r="H908" t="s">
        <v>40</v>
      </c>
      <c r="I908" s="1">
        <v>44667</v>
      </c>
      <c r="J908" s="1">
        <v>44676</v>
      </c>
      <c r="L908">
        <v>3</v>
      </c>
      <c r="M908">
        <v>7</v>
      </c>
      <c r="N908" t="s">
        <v>28</v>
      </c>
      <c r="O908">
        <v>875893</v>
      </c>
      <c r="U908">
        <f>Table1[[#This Row],[Interview_Date]]-Table1[[#This Row],[Application_Date]]</f>
        <v>9</v>
      </c>
      <c r="V908" t="str">
        <f>IF(OR(Table1[[#This Row],[Offer_Date]]="",Table1[[#This Row],[Interview_Date]]=""),"",Table1[[#This Row],[Offer_Date]]-Table1[[#This Row],[Interview_Date]])</f>
        <v/>
      </c>
    </row>
    <row r="909" spans="1:22" x14ac:dyDescent="0.3">
      <c r="A909" t="s">
        <v>964</v>
      </c>
      <c r="B909" t="s">
        <v>16</v>
      </c>
      <c r="C909" t="s">
        <v>59</v>
      </c>
      <c r="D909" t="s">
        <v>18</v>
      </c>
      <c r="E909">
        <v>36</v>
      </c>
      <c r="F909" t="s">
        <v>56</v>
      </c>
      <c r="G909" t="s">
        <v>60</v>
      </c>
      <c r="H909" t="s">
        <v>21</v>
      </c>
      <c r="I909" s="1">
        <v>45029</v>
      </c>
      <c r="J909" s="1">
        <v>45039</v>
      </c>
      <c r="L909">
        <v>5</v>
      </c>
      <c r="M909">
        <v>3</v>
      </c>
      <c r="N909" t="s">
        <v>28</v>
      </c>
      <c r="O909">
        <v>958242</v>
      </c>
      <c r="U909">
        <f>Table1[[#This Row],[Interview_Date]]-Table1[[#This Row],[Application_Date]]</f>
        <v>10</v>
      </c>
      <c r="V909" t="str">
        <f>IF(OR(Table1[[#This Row],[Offer_Date]]="",Table1[[#This Row],[Interview_Date]]=""),"",Table1[[#This Row],[Offer_Date]]-Table1[[#This Row],[Interview_Date]])</f>
        <v/>
      </c>
    </row>
    <row r="910" spans="1:22" x14ac:dyDescent="0.3">
      <c r="A910" t="s">
        <v>965</v>
      </c>
      <c r="B910" t="s">
        <v>65</v>
      </c>
      <c r="C910" t="s">
        <v>59</v>
      </c>
      <c r="D910" t="s">
        <v>26</v>
      </c>
      <c r="E910">
        <v>39</v>
      </c>
      <c r="F910" t="s">
        <v>39</v>
      </c>
      <c r="G910" t="s">
        <v>44</v>
      </c>
      <c r="H910" t="s">
        <v>40</v>
      </c>
      <c r="I910" s="1">
        <v>44760</v>
      </c>
      <c r="J910" s="1">
        <v>44768</v>
      </c>
      <c r="L910">
        <v>4</v>
      </c>
      <c r="M910">
        <v>7</v>
      </c>
      <c r="N910" t="s">
        <v>45</v>
      </c>
      <c r="O910">
        <v>807321</v>
      </c>
      <c r="U910">
        <f>Table1[[#This Row],[Interview_Date]]-Table1[[#This Row],[Application_Date]]</f>
        <v>8</v>
      </c>
      <c r="V910" t="str">
        <f>IF(OR(Table1[[#This Row],[Offer_Date]]="",Table1[[#This Row],[Interview_Date]]=""),"",Table1[[#This Row],[Offer_Date]]-Table1[[#This Row],[Interview_Date]])</f>
        <v/>
      </c>
    </row>
    <row r="911" spans="1:22" x14ac:dyDescent="0.3">
      <c r="A911" t="s">
        <v>966</v>
      </c>
      <c r="B911" t="s">
        <v>63</v>
      </c>
      <c r="C911" t="s">
        <v>30</v>
      </c>
      <c r="D911" t="s">
        <v>26</v>
      </c>
      <c r="E911">
        <v>44</v>
      </c>
      <c r="F911" t="s">
        <v>74</v>
      </c>
      <c r="G911" t="s">
        <v>44</v>
      </c>
      <c r="H911" t="s">
        <v>21</v>
      </c>
      <c r="I911" s="1">
        <v>45326</v>
      </c>
      <c r="J911" s="1">
        <v>45341</v>
      </c>
      <c r="K911" s="1">
        <v>45345</v>
      </c>
      <c r="L911">
        <v>1</v>
      </c>
      <c r="M911">
        <v>7</v>
      </c>
      <c r="N911" t="s">
        <v>48</v>
      </c>
      <c r="O911">
        <v>552961</v>
      </c>
      <c r="U911">
        <f>Table1[[#This Row],[Interview_Date]]-Table1[[#This Row],[Application_Date]]</f>
        <v>15</v>
      </c>
      <c r="V911">
        <f>IF(OR(Table1[[#This Row],[Offer_Date]]="",Table1[[#This Row],[Interview_Date]]=""),"",Table1[[#This Row],[Offer_Date]]-Table1[[#This Row],[Interview_Date]])</f>
        <v>4</v>
      </c>
    </row>
    <row r="912" spans="1:22" x14ac:dyDescent="0.3">
      <c r="A912" t="s">
        <v>967</v>
      </c>
      <c r="B912" t="s">
        <v>65</v>
      </c>
      <c r="C912" t="s">
        <v>66</v>
      </c>
      <c r="D912" t="s">
        <v>18</v>
      </c>
      <c r="E912">
        <v>22</v>
      </c>
      <c r="F912" t="s">
        <v>34</v>
      </c>
      <c r="G912" t="s">
        <v>60</v>
      </c>
      <c r="H912" t="s">
        <v>36</v>
      </c>
      <c r="I912" s="1">
        <v>44327</v>
      </c>
      <c r="J912" s="1">
        <v>44330</v>
      </c>
      <c r="K912" s="1">
        <v>44332</v>
      </c>
      <c r="L912">
        <v>1</v>
      </c>
      <c r="M912">
        <v>5</v>
      </c>
      <c r="N912" t="s">
        <v>22</v>
      </c>
      <c r="O912">
        <v>938486</v>
      </c>
      <c r="U912">
        <f>Table1[[#This Row],[Interview_Date]]-Table1[[#This Row],[Application_Date]]</f>
        <v>3</v>
      </c>
      <c r="V912">
        <f>IF(OR(Table1[[#This Row],[Offer_Date]]="",Table1[[#This Row],[Interview_Date]]=""),"",Table1[[#This Row],[Offer_Date]]-Table1[[#This Row],[Interview_Date]])</f>
        <v>2</v>
      </c>
    </row>
    <row r="913" spans="1:22" x14ac:dyDescent="0.3">
      <c r="A913" t="s">
        <v>968</v>
      </c>
      <c r="B913" t="s">
        <v>47</v>
      </c>
      <c r="C913" t="s">
        <v>25</v>
      </c>
      <c r="D913" t="s">
        <v>18</v>
      </c>
      <c r="E913">
        <v>40</v>
      </c>
      <c r="F913" t="s">
        <v>39</v>
      </c>
      <c r="G913" t="s">
        <v>27</v>
      </c>
      <c r="H913" t="s">
        <v>40</v>
      </c>
      <c r="I913" s="1">
        <v>44922</v>
      </c>
      <c r="J913" s="1">
        <v>44927</v>
      </c>
      <c r="K913" s="1">
        <v>44932</v>
      </c>
      <c r="L913">
        <v>5</v>
      </c>
      <c r="M913">
        <v>7</v>
      </c>
      <c r="N913" t="s">
        <v>28</v>
      </c>
      <c r="O913">
        <v>968964</v>
      </c>
      <c r="U913">
        <f>Table1[[#This Row],[Interview_Date]]-Table1[[#This Row],[Application_Date]]</f>
        <v>5</v>
      </c>
      <c r="V913">
        <f>IF(OR(Table1[[#This Row],[Offer_Date]]="",Table1[[#This Row],[Interview_Date]]=""),"",Table1[[#This Row],[Offer_Date]]-Table1[[#This Row],[Interview_Date]])</f>
        <v>5</v>
      </c>
    </row>
    <row r="914" spans="1:22" x14ac:dyDescent="0.3">
      <c r="A914" t="s">
        <v>969</v>
      </c>
      <c r="B914" t="s">
        <v>42</v>
      </c>
      <c r="C914" t="s">
        <v>59</v>
      </c>
      <c r="D914" t="s">
        <v>26</v>
      </c>
      <c r="E914">
        <v>44</v>
      </c>
      <c r="F914" t="s">
        <v>39</v>
      </c>
      <c r="G914" t="s">
        <v>35</v>
      </c>
      <c r="H914" t="s">
        <v>36</v>
      </c>
      <c r="I914" s="1">
        <v>45183</v>
      </c>
      <c r="J914" s="1">
        <v>45196</v>
      </c>
      <c r="L914">
        <v>1</v>
      </c>
      <c r="M914">
        <v>4</v>
      </c>
      <c r="N914" t="s">
        <v>28</v>
      </c>
      <c r="O914">
        <v>489749</v>
      </c>
      <c r="U914">
        <f>Table1[[#This Row],[Interview_Date]]-Table1[[#This Row],[Application_Date]]</f>
        <v>13</v>
      </c>
      <c r="V914" t="str">
        <f>IF(OR(Table1[[#This Row],[Offer_Date]]="",Table1[[#This Row],[Interview_Date]]=""),"",Table1[[#This Row],[Offer_Date]]-Table1[[#This Row],[Interview_Date]])</f>
        <v/>
      </c>
    </row>
    <row r="915" spans="1:22" x14ac:dyDescent="0.3">
      <c r="A915" t="s">
        <v>970</v>
      </c>
      <c r="B915" t="s">
        <v>65</v>
      </c>
      <c r="C915" t="s">
        <v>69</v>
      </c>
      <c r="D915" t="s">
        <v>26</v>
      </c>
      <c r="E915">
        <v>34</v>
      </c>
      <c r="F915" t="s">
        <v>19</v>
      </c>
      <c r="G915" t="s">
        <v>60</v>
      </c>
      <c r="H915" t="s">
        <v>21</v>
      </c>
      <c r="I915" s="1">
        <v>45248</v>
      </c>
      <c r="J915" s="1">
        <v>45255</v>
      </c>
      <c r="L915">
        <v>3</v>
      </c>
      <c r="M915">
        <v>9</v>
      </c>
      <c r="N915" t="s">
        <v>48</v>
      </c>
      <c r="O915">
        <v>511053</v>
      </c>
      <c r="U915">
        <f>Table1[[#This Row],[Interview_Date]]-Table1[[#This Row],[Application_Date]]</f>
        <v>7</v>
      </c>
      <c r="V915" t="str">
        <f>IF(OR(Table1[[#This Row],[Offer_Date]]="",Table1[[#This Row],[Interview_Date]]=""),"",Table1[[#This Row],[Offer_Date]]-Table1[[#This Row],[Interview_Date]])</f>
        <v/>
      </c>
    </row>
    <row r="916" spans="1:22" x14ac:dyDescent="0.3">
      <c r="A916" t="s">
        <v>971</v>
      </c>
      <c r="B916" t="s">
        <v>42</v>
      </c>
      <c r="C916" t="s">
        <v>30</v>
      </c>
      <c r="D916" t="s">
        <v>18</v>
      </c>
      <c r="E916">
        <v>41</v>
      </c>
      <c r="F916" t="s">
        <v>74</v>
      </c>
      <c r="G916" t="s">
        <v>27</v>
      </c>
      <c r="H916" t="s">
        <v>51</v>
      </c>
      <c r="I916" s="1">
        <v>45365</v>
      </c>
      <c r="J916" s="1">
        <v>45371</v>
      </c>
      <c r="L916">
        <v>1</v>
      </c>
      <c r="M916">
        <v>9</v>
      </c>
      <c r="N916" t="s">
        <v>48</v>
      </c>
      <c r="O916">
        <v>894427</v>
      </c>
      <c r="U916">
        <f>Table1[[#This Row],[Interview_Date]]-Table1[[#This Row],[Application_Date]]</f>
        <v>6</v>
      </c>
      <c r="V916" t="str">
        <f>IF(OR(Table1[[#This Row],[Offer_Date]]="",Table1[[#This Row],[Interview_Date]]=""),"",Table1[[#This Row],[Offer_Date]]-Table1[[#This Row],[Interview_Date]])</f>
        <v/>
      </c>
    </row>
    <row r="917" spans="1:22" x14ac:dyDescent="0.3">
      <c r="A917" t="s">
        <v>972</v>
      </c>
      <c r="B917" t="s">
        <v>42</v>
      </c>
      <c r="C917" t="s">
        <v>43</v>
      </c>
      <c r="D917" t="s">
        <v>18</v>
      </c>
      <c r="E917">
        <v>26</v>
      </c>
      <c r="F917" t="s">
        <v>34</v>
      </c>
      <c r="G917" t="s">
        <v>35</v>
      </c>
      <c r="H917" t="s">
        <v>51</v>
      </c>
      <c r="I917" s="1">
        <v>44198</v>
      </c>
      <c r="J917" s="1">
        <v>44210</v>
      </c>
      <c r="L917">
        <v>3</v>
      </c>
      <c r="M917">
        <v>7</v>
      </c>
      <c r="N917" t="s">
        <v>28</v>
      </c>
      <c r="O917">
        <v>1147138</v>
      </c>
      <c r="U917">
        <f>Table1[[#This Row],[Interview_Date]]-Table1[[#This Row],[Application_Date]]</f>
        <v>12</v>
      </c>
      <c r="V917" t="str">
        <f>IF(OR(Table1[[#This Row],[Offer_Date]]="",Table1[[#This Row],[Interview_Date]]=""),"",Table1[[#This Row],[Offer_Date]]-Table1[[#This Row],[Interview_Date]])</f>
        <v/>
      </c>
    </row>
    <row r="918" spans="1:22" x14ac:dyDescent="0.3">
      <c r="A918" t="s">
        <v>973</v>
      </c>
      <c r="B918" t="s">
        <v>63</v>
      </c>
      <c r="C918" t="s">
        <v>59</v>
      </c>
      <c r="D918" t="s">
        <v>26</v>
      </c>
      <c r="E918">
        <v>22</v>
      </c>
      <c r="F918" t="s">
        <v>19</v>
      </c>
      <c r="G918" t="s">
        <v>20</v>
      </c>
      <c r="H918" t="s">
        <v>51</v>
      </c>
      <c r="I918" s="1">
        <v>45052</v>
      </c>
      <c r="J918" s="1">
        <v>45057</v>
      </c>
      <c r="K918" s="1">
        <v>45060</v>
      </c>
      <c r="L918">
        <v>4</v>
      </c>
      <c r="M918">
        <v>3</v>
      </c>
      <c r="N918" t="s">
        <v>48</v>
      </c>
      <c r="O918">
        <v>907376</v>
      </c>
      <c r="U918">
        <f>Table1[[#This Row],[Interview_Date]]-Table1[[#This Row],[Application_Date]]</f>
        <v>5</v>
      </c>
      <c r="V918">
        <f>IF(OR(Table1[[#This Row],[Offer_Date]]="",Table1[[#This Row],[Interview_Date]]=""),"",Table1[[#This Row],[Offer_Date]]-Table1[[#This Row],[Interview_Date]])</f>
        <v>3</v>
      </c>
    </row>
    <row r="919" spans="1:22" x14ac:dyDescent="0.3">
      <c r="A919" t="s">
        <v>974</v>
      </c>
      <c r="B919" t="s">
        <v>65</v>
      </c>
      <c r="C919" t="s">
        <v>43</v>
      </c>
      <c r="D919" t="s">
        <v>18</v>
      </c>
      <c r="E919">
        <v>40</v>
      </c>
      <c r="F919" t="s">
        <v>31</v>
      </c>
      <c r="G919" t="s">
        <v>60</v>
      </c>
      <c r="H919" t="s">
        <v>54</v>
      </c>
      <c r="I919" s="1">
        <v>45318</v>
      </c>
      <c r="J919" s="1">
        <v>45321</v>
      </c>
      <c r="L919">
        <v>4</v>
      </c>
      <c r="M919">
        <v>9</v>
      </c>
      <c r="N919" t="s">
        <v>28</v>
      </c>
      <c r="O919">
        <v>535013</v>
      </c>
      <c r="U919">
        <f>Table1[[#This Row],[Interview_Date]]-Table1[[#This Row],[Application_Date]]</f>
        <v>3</v>
      </c>
      <c r="V919" t="str">
        <f>IF(OR(Table1[[#This Row],[Offer_Date]]="",Table1[[#This Row],[Interview_Date]]=""),"",Table1[[#This Row],[Offer_Date]]-Table1[[#This Row],[Interview_Date]])</f>
        <v/>
      </c>
    </row>
    <row r="920" spans="1:22" x14ac:dyDescent="0.3">
      <c r="A920" t="s">
        <v>975</v>
      </c>
      <c r="B920" t="s">
        <v>16</v>
      </c>
      <c r="C920" t="s">
        <v>50</v>
      </c>
      <c r="D920" t="s">
        <v>26</v>
      </c>
      <c r="E920">
        <v>22</v>
      </c>
      <c r="F920" t="s">
        <v>31</v>
      </c>
      <c r="G920" t="s">
        <v>44</v>
      </c>
      <c r="H920" t="s">
        <v>40</v>
      </c>
      <c r="I920" s="1">
        <v>44964</v>
      </c>
      <c r="J920" s="1">
        <v>44968</v>
      </c>
      <c r="K920" s="1">
        <v>44972</v>
      </c>
      <c r="L920">
        <v>4</v>
      </c>
      <c r="M920">
        <v>6</v>
      </c>
      <c r="N920" t="s">
        <v>22</v>
      </c>
      <c r="O920">
        <v>802425</v>
      </c>
      <c r="U920">
        <f>Table1[[#This Row],[Interview_Date]]-Table1[[#This Row],[Application_Date]]</f>
        <v>4</v>
      </c>
      <c r="V920">
        <f>IF(OR(Table1[[#This Row],[Offer_Date]]="",Table1[[#This Row],[Interview_Date]]=""),"",Table1[[#This Row],[Offer_Date]]-Table1[[#This Row],[Interview_Date]])</f>
        <v>4</v>
      </c>
    </row>
    <row r="921" spans="1:22" x14ac:dyDescent="0.3">
      <c r="A921" t="s">
        <v>976</v>
      </c>
      <c r="B921" t="s">
        <v>58</v>
      </c>
      <c r="C921" t="s">
        <v>17</v>
      </c>
      <c r="D921" t="s">
        <v>26</v>
      </c>
      <c r="E921">
        <v>42</v>
      </c>
      <c r="F921" t="s">
        <v>19</v>
      </c>
      <c r="G921" t="s">
        <v>27</v>
      </c>
      <c r="H921" t="s">
        <v>21</v>
      </c>
      <c r="I921" s="1">
        <v>44924</v>
      </c>
      <c r="J921" s="1">
        <v>44930</v>
      </c>
      <c r="L921">
        <v>5</v>
      </c>
      <c r="M921">
        <v>5</v>
      </c>
      <c r="N921" t="s">
        <v>22</v>
      </c>
      <c r="O921">
        <v>1134647</v>
      </c>
      <c r="U921">
        <f>Table1[[#This Row],[Interview_Date]]-Table1[[#This Row],[Application_Date]]</f>
        <v>6</v>
      </c>
      <c r="V921" t="str">
        <f>IF(OR(Table1[[#This Row],[Offer_Date]]="",Table1[[#This Row],[Interview_Date]]=""),"",Table1[[#This Row],[Offer_Date]]-Table1[[#This Row],[Interview_Date]])</f>
        <v/>
      </c>
    </row>
    <row r="922" spans="1:22" x14ac:dyDescent="0.3">
      <c r="A922" t="s">
        <v>977</v>
      </c>
      <c r="B922" t="s">
        <v>38</v>
      </c>
      <c r="C922" t="s">
        <v>59</v>
      </c>
      <c r="D922" t="s">
        <v>18</v>
      </c>
      <c r="E922">
        <v>36</v>
      </c>
      <c r="F922" t="s">
        <v>31</v>
      </c>
      <c r="G922" t="s">
        <v>60</v>
      </c>
      <c r="H922" t="s">
        <v>40</v>
      </c>
      <c r="I922" s="1">
        <v>44762</v>
      </c>
      <c r="J922" s="1">
        <v>44771</v>
      </c>
      <c r="K922" s="1">
        <v>44775</v>
      </c>
      <c r="L922">
        <v>2</v>
      </c>
      <c r="M922">
        <v>3</v>
      </c>
      <c r="N922" t="s">
        <v>45</v>
      </c>
      <c r="O922">
        <v>335285</v>
      </c>
      <c r="U922">
        <f>Table1[[#This Row],[Interview_Date]]-Table1[[#This Row],[Application_Date]]</f>
        <v>9</v>
      </c>
      <c r="V922">
        <f>IF(OR(Table1[[#This Row],[Offer_Date]]="",Table1[[#This Row],[Interview_Date]]=""),"",Table1[[#This Row],[Offer_Date]]-Table1[[#This Row],[Interview_Date]])</f>
        <v>4</v>
      </c>
    </row>
    <row r="923" spans="1:22" x14ac:dyDescent="0.3">
      <c r="A923" t="s">
        <v>978</v>
      </c>
      <c r="B923" t="s">
        <v>58</v>
      </c>
      <c r="C923" t="s">
        <v>17</v>
      </c>
      <c r="D923" t="s">
        <v>26</v>
      </c>
      <c r="E923">
        <v>36</v>
      </c>
      <c r="F923" t="s">
        <v>56</v>
      </c>
      <c r="G923" t="s">
        <v>60</v>
      </c>
      <c r="H923" t="s">
        <v>21</v>
      </c>
      <c r="I923" s="1">
        <v>44927</v>
      </c>
      <c r="J923" s="1">
        <v>44933</v>
      </c>
      <c r="K923" s="1">
        <v>44939</v>
      </c>
      <c r="L923">
        <v>2</v>
      </c>
      <c r="M923">
        <v>6</v>
      </c>
      <c r="N923" t="s">
        <v>48</v>
      </c>
      <c r="O923">
        <v>1028454</v>
      </c>
      <c r="U923">
        <f>Table1[[#This Row],[Interview_Date]]-Table1[[#This Row],[Application_Date]]</f>
        <v>6</v>
      </c>
      <c r="V923">
        <f>IF(OR(Table1[[#This Row],[Offer_Date]]="",Table1[[#This Row],[Interview_Date]]=""),"",Table1[[#This Row],[Offer_Date]]-Table1[[#This Row],[Interview_Date]])</f>
        <v>6</v>
      </c>
    </row>
    <row r="924" spans="1:22" x14ac:dyDescent="0.3">
      <c r="A924" t="s">
        <v>979</v>
      </c>
      <c r="B924" t="s">
        <v>72</v>
      </c>
      <c r="C924" t="s">
        <v>50</v>
      </c>
      <c r="D924" t="s">
        <v>26</v>
      </c>
      <c r="E924">
        <v>28</v>
      </c>
      <c r="F924" t="s">
        <v>31</v>
      </c>
      <c r="G924" t="s">
        <v>44</v>
      </c>
      <c r="H924" t="s">
        <v>36</v>
      </c>
      <c r="I924" s="1">
        <v>44284</v>
      </c>
      <c r="J924" s="1">
        <v>44292</v>
      </c>
      <c r="L924">
        <v>4</v>
      </c>
      <c r="M924">
        <v>8</v>
      </c>
      <c r="N924" t="s">
        <v>45</v>
      </c>
      <c r="O924">
        <v>811595</v>
      </c>
      <c r="U924">
        <f>Table1[[#This Row],[Interview_Date]]-Table1[[#This Row],[Application_Date]]</f>
        <v>8</v>
      </c>
      <c r="V924" t="str">
        <f>IF(OR(Table1[[#This Row],[Offer_Date]]="",Table1[[#This Row],[Interview_Date]]=""),"",Table1[[#This Row],[Offer_Date]]-Table1[[#This Row],[Interview_Date]])</f>
        <v/>
      </c>
    </row>
    <row r="925" spans="1:22" x14ac:dyDescent="0.3">
      <c r="A925" t="s">
        <v>980</v>
      </c>
      <c r="B925" t="s">
        <v>42</v>
      </c>
      <c r="C925" t="s">
        <v>94</v>
      </c>
      <c r="D925" t="s">
        <v>26</v>
      </c>
      <c r="E925">
        <v>39</v>
      </c>
      <c r="F925" t="s">
        <v>31</v>
      </c>
      <c r="G925" t="s">
        <v>60</v>
      </c>
      <c r="H925" t="s">
        <v>40</v>
      </c>
      <c r="I925" s="1">
        <v>44525</v>
      </c>
      <c r="J925" s="1">
        <v>44535</v>
      </c>
      <c r="K925" s="1">
        <v>44541</v>
      </c>
      <c r="L925">
        <v>3</v>
      </c>
      <c r="M925">
        <v>10</v>
      </c>
      <c r="N925" t="s">
        <v>45</v>
      </c>
      <c r="O925">
        <v>911696</v>
      </c>
      <c r="U925">
        <f>Table1[[#This Row],[Interview_Date]]-Table1[[#This Row],[Application_Date]]</f>
        <v>10</v>
      </c>
      <c r="V925">
        <f>IF(OR(Table1[[#This Row],[Offer_Date]]="",Table1[[#This Row],[Interview_Date]]=""),"",Table1[[#This Row],[Offer_Date]]-Table1[[#This Row],[Interview_Date]])</f>
        <v>6</v>
      </c>
    </row>
    <row r="926" spans="1:22" x14ac:dyDescent="0.3">
      <c r="A926" t="s">
        <v>981</v>
      </c>
      <c r="B926" t="s">
        <v>72</v>
      </c>
      <c r="C926" t="s">
        <v>17</v>
      </c>
      <c r="D926" t="s">
        <v>18</v>
      </c>
      <c r="E926">
        <v>38</v>
      </c>
      <c r="F926" t="s">
        <v>39</v>
      </c>
      <c r="G926" t="s">
        <v>27</v>
      </c>
      <c r="H926" t="s">
        <v>36</v>
      </c>
      <c r="I926" s="1">
        <v>44623</v>
      </c>
      <c r="J926" s="1">
        <v>44632</v>
      </c>
      <c r="K926" s="1">
        <v>44638</v>
      </c>
      <c r="L926">
        <v>5</v>
      </c>
      <c r="M926">
        <v>8</v>
      </c>
      <c r="N926" t="s">
        <v>28</v>
      </c>
      <c r="O926">
        <v>785768</v>
      </c>
      <c r="U926">
        <f>Table1[[#This Row],[Interview_Date]]-Table1[[#This Row],[Application_Date]]</f>
        <v>9</v>
      </c>
      <c r="V926">
        <f>IF(OR(Table1[[#This Row],[Offer_Date]]="",Table1[[#This Row],[Interview_Date]]=""),"",Table1[[#This Row],[Offer_Date]]-Table1[[#This Row],[Interview_Date]])</f>
        <v>6</v>
      </c>
    </row>
    <row r="927" spans="1:22" x14ac:dyDescent="0.3">
      <c r="A927" t="s">
        <v>982</v>
      </c>
      <c r="B927" t="s">
        <v>47</v>
      </c>
      <c r="C927" t="s">
        <v>66</v>
      </c>
      <c r="D927" t="s">
        <v>26</v>
      </c>
      <c r="E927">
        <v>23</v>
      </c>
      <c r="F927" t="s">
        <v>74</v>
      </c>
      <c r="G927" t="s">
        <v>27</v>
      </c>
      <c r="H927" t="s">
        <v>21</v>
      </c>
      <c r="I927" s="1">
        <v>44821</v>
      </c>
      <c r="J927" s="1">
        <v>44831</v>
      </c>
      <c r="L927">
        <v>4</v>
      </c>
      <c r="M927">
        <v>6</v>
      </c>
      <c r="N927" t="s">
        <v>28</v>
      </c>
      <c r="O927">
        <v>932519</v>
      </c>
      <c r="U927">
        <f>Table1[[#This Row],[Interview_Date]]-Table1[[#This Row],[Application_Date]]</f>
        <v>10</v>
      </c>
      <c r="V927" t="str">
        <f>IF(OR(Table1[[#This Row],[Offer_Date]]="",Table1[[#This Row],[Interview_Date]]=""),"",Table1[[#This Row],[Offer_Date]]-Table1[[#This Row],[Interview_Date]])</f>
        <v/>
      </c>
    </row>
    <row r="928" spans="1:22" x14ac:dyDescent="0.3">
      <c r="A928" t="s">
        <v>983</v>
      </c>
      <c r="B928" t="s">
        <v>33</v>
      </c>
      <c r="C928" t="s">
        <v>43</v>
      </c>
      <c r="D928" t="s">
        <v>26</v>
      </c>
      <c r="E928">
        <v>43</v>
      </c>
      <c r="F928" t="s">
        <v>34</v>
      </c>
      <c r="G928" t="s">
        <v>20</v>
      </c>
      <c r="H928" t="s">
        <v>21</v>
      </c>
      <c r="I928" s="1">
        <v>45205</v>
      </c>
      <c r="J928" s="1">
        <v>45213</v>
      </c>
      <c r="L928">
        <v>4</v>
      </c>
      <c r="M928">
        <v>9</v>
      </c>
      <c r="N928" t="s">
        <v>48</v>
      </c>
      <c r="O928">
        <v>543967</v>
      </c>
      <c r="U928">
        <f>Table1[[#This Row],[Interview_Date]]-Table1[[#This Row],[Application_Date]]</f>
        <v>8</v>
      </c>
      <c r="V928" t="str">
        <f>IF(OR(Table1[[#This Row],[Offer_Date]]="",Table1[[#This Row],[Interview_Date]]=""),"",Table1[[#This Row],[Offer_Date]]-Table1[[#This Row],[Interview_Date]])</f>
        <v/>
      </c>
    </row>
    <row r="929" spans="1:22" x14ac:dyDescent="0.3">
      <c r="A929" t="s">
        <v>984</v>
      </c>
      <c r="B929" t="s">
        <v>42</v>
      </c>
      <c r="C929" t="s">
        <v>53</v>
      </c>
      <c r="D929" t="s">
        <v>26</v>
      </c>
      <c r="E929">
        <v>39</v>
      </c>
      <c r="F929" t="s">
        <v>31</v>
      </c>
      <c r="G929" t="s">
        <v>35</v>
      </c>
      <c r="H929" t="s">
        <v>21</v>
      </c>
      <c r="I929" s="1">
        <v>45065</v>
      </c>
      <c r="J929" s="1">
        <v>45075</v>
      </c>
      <c r="K929" s="1">
        <v>45082</v>
      </c>
      <c r="L929">
        <v>4</v>
      </c>
      <c r="M929">
        <v>3</v>
      </c>
      <c r="N929" t="s">
        <v>22</v>
      </c>
      <c r="O929">
        <v>1051980</v>
      </c>
      <c r="U929">
        <f>Table1[[#This Row],[Interview_Date]]-Table1[[#This Row],[Application_Date]]</f>
        <v>10</v>
      </c>
      <c r="V929">
        <f>IF(OR(Table1[[#This Row],[Offer_Date]]="",Table1[[#This Row],[Interview_Date]]=""),"",Table1[[#This Row],[Offer_Date]]-Table1[[#This Row],[Interview_Date]])</f>
        <v>7</v>
      </c>
    </row>
    <row r="930" spans="1:22" x14ac:dyDescent="0.3">
      <c r="A930" t="s">
        <v>985</v>
      </c>
      <c r="B930" t="s">
        <v>65</v>
      </c>
      <c r="C930" t="s">
        <v>66</v>
      </c>
      <c r="D930" t="s">
        <v>26</v>
      </c>
      <c r="E930">
        <v>35</v>
      </c>
      <c r="F930" t="s">
        <v>74</v>
      </c>
      <c r="G930" t="s">
        <v>60</v>
      </c>
      <c r="H930" t="s">
        <v>36</v>
      </c>
      <c r="I930" s="1">
        <v>44200</v>
      </c>
      <c r="J930" s="1">
        <v>44209</v>
      </c>
      <c r="K930" s="1">
        <v>44213</v>
      </c>
      <c r="L930">
        <v>2</v>
      </c>
      <c r="M930">
        <v>9</v>
      </c>
      <c r="N930" t="s">
        <v>45</v>
      </c>
      <c r="O930">
        <v>1055514</v>
      </c>
      <c r="U930">
        <f>Table1[[#This Row],[Interview_Date]]-Table1[[#This Row],[Application_Date]]</f>
        <v>9</v>
      </c>
      <c r="V930">
        <f>IF(OR(Table1[[#This Row],[Offer_Date]]="",Table1[[#This Row],[Interview_Date]]=""),"",Table1[[#This Row],[Offer_Date]]-Table1[[#This Row],[Interview_Date]])</f>
        <v>4</v>
      </c>
    </row>
    <row r="931" spans="1:22" x14ac:dyDescent="0.3">
      <c r="A931" t="s">
        <v>986</v>
      </c>
      <c r="B931" t="s">
        <v>16</v>
      </c>
      <c r="C931" t="s">
        <v>66</v>
      </c>
      <c r="D931" t="s">
        <v>26</v>
      </c>
      <c r="E931">
        <v>35</v>
      </c>
      <c r="F931" t="s">
        <v>19</v>
      </c>
      <c r="G931" t="s">
        <v>27</v>
      </c>
      <c r="H931" t="s">
        <v>40</v>
      </c>
      <c r="I931" s="1">
        <v>44949</v>
      </c>
      <c r="J931" s="1">
        <v>44964</v>
      </c>
      <c r="L931">
        <v>5</v>
      </c>
      <c r="M931">
        <v>4</v>
      </c>
      <c r="N931" t="s">
        <v>48</v>
      </c>
      <c r="O931">
        <v>687659</v>
      </c>
      <c r="U931">
        <f>Table1[[#This Row],[Interview_Date]]-Table1[[#This Row],[Application_Date]]</f>
        <v>15</v>
      </c>
      <c r="V931" t="str">
        <f>IF(OR(Table1[[#This Row],[Offer_Date]]="",Table1[[#This Row],[Interview_Date]]=""),"",Table1[[#This Row],[Offer_Date]]-Table1[[#This Row],[Interview_Date]])</f>
        <v/>
      </c>
    </row>
    <row r="932" spans="1:22" x14ac:dyDescent="0.3">
      <c r="A932" t="s">
        <v>987</v>
      </c>
      <c r="B932" t="s">
        <v>42</v>
      </c>
      <c r="C932" t="s">
        <v>30</v>
      </c>
      <c r="D932" t="s">
        <v>18</v>
      </c>
      <c r="E932">
        <v>25</v>
      </c>
      <c r="F932" t="s">
        <v>19</v>
      </c>
      <c r="G932" t="s">
        <v>44</v>
      </c>
      <c r="H932" t="s">
        <v>21</v>
      </c>
      <c r="I932" s="1">
        <v>44521</v>
      </c>
      <c r="J932" s="1">
        <v>44529</v>
      </c>
      <c r="K932" s="1">
        <v>44535</v>
      </c>
      <c r="L932">
        <v>5</v>
      </c>
      <c r="M932">
        <v>10</v>
      </c>
      <c r="N932" t="s">
        <v>22</v>
      </c>
      <c r="O932">
        <v>477229</v>
      </c>
      <c r="U932">
        <f>Table1[[#This Row],[Interview_Date]]-Table1[[#This Row],[Application_Date]]</f>
        <v>8</v>
      </c>
      <c r="V932">
        <f>IF(OR(Table1[[#This Row],[Offer_Date]]="",Table1[[#This Row],[Interview_Date]]=""),"",Table1[[#This Row],[Offer_Date]]-Table1[[#This Row],[Interview_Date]])</f>
        <v>6</v>
      </c>
    </row>
    <row r="933" spans="1:22" x14ac:dyDescent="0.3">
      <c r="A933" t="s">
        <v>988</v>
      </c>
      <c r="B933" t="s">
        <v>72</v>
      </c>
      <c r="C933" t="s">
        <v>17</v>
      </c>
      <c r="D933" t="s">
        <v>26</v>
      </c>
      <c r="E933">
        <v>29</v>
      </c>
      <c r="F933" t="s">
        <v>39</v>
      </c>
      <c r="G933" t="s">
        <v>35</v>
      </c>
      <c r="H933" t="s">
        <v>51</v>
      </c>
      <c r="I933" s="1">
        <v>44288</v>
      </c>
      <c r="J933" s="1">
        <v>44293</v>
      </c>
      <c r="L933">
        <v>5</v>
      </c>
      <c r="M933">
        <v>7</v>
      </c>
      <c r="N933" t="s">
        <v>22</v>
      </c>
      <c r="O933">
        <v>459201</v>
      </c>
      <c r="U933">
        <f>Table1[[#This Row],[Interview_Date]]-Table1[[#This Row],[Application_Date]]</f>
        <v>5</v>
      </c>
      <c r="V933" t="str">
        <f>IF(OR(Table1[[#This Row],[Offer_Date]]="",Table1[[#This Row],[Interview_Date]]=""),"",Table1[[#This Row],[Offer_Date]]-Table1[[#This Row],[Interview_Date]])</f>
        <v/>
      </c>
    </row>
    <row r="934" spans="1:22" x14ac:dyDescent="0.3">
      <c r="A934" t="s">
        <v>989</v>
      </c>
      <c r="B934" t="s">
        <v>42</v>
      </c>
      <c r="C934" t="s">
        <v>94</v>
      </c>
      <c r="D934" t="s">
        <v>18</v>
      </c>
      <c r="E934">
        <v>45</v>
      </c>
      <c r="F934" t="s">
        <v>34</v>
      </c>
      <c r="G934" t="s">
        <v>27</v>
      </c>
      <c r="H934" t="s">
        <v>36</v>
      </c>
      <c r="I934" s="1">
        <v>44341</v>
      </c>
      <c r="J934" s="1">
        <v>44345</v>
      </c>
      <c r="K934" s="1">
        <v>44349</v>
      </c>
      <c r="L934">
        <v>3</v>
      </c>
      <c r="M934">
        <v>7</v>
      </c>
      <c r="N934" t="s">
        <v>22</v>
      </c>
      <c r="O934">
        <v>623772</v>
      </c>
      <c r="U934">
        <f>Table1[[#This Row],[Interview_Date]]-Table1[[#This Row],[Application_Date]]</f>
        <v>4</v>
      </c>
      <c r="V934">
        <f>IF(OR(Table1[[#This Row],[Offer_Date]]="",Table1[[#This Row],[Interview_Date]]=""),"",Table1[[#This Row],[Offer_Date]]-Table1[[#This Row],[Interview_Date]])</f>
        <v>4</v>
      </c>
    </row>
    <row r="935" spans="1:22" x14ac:dyDescent="0.3">
      <c r="A935" t="s">
        <v>990</v>
      </c>
      <c r="B935" t="s">
        <v>24</v>
      </c>
      <c r="C935" t="s">
        <v>66</v>
      </c>
      <c r="D935" t="s">
        <v>18</v>
      </c>
      <c r="E935">
        <v>44</v>
      </c>
      <c r="F935" t="s">
        <v>19</v>
      </c>
      <c r="G935" t="s">
        <v>44</v>
      </c>
      <c r="H935" t="s">
        <v>40</v>
      </c>
      <c r="I935" s="1">
        <v>44802</v>
      </c>
      <c r="J935" s="1">
        <v>44812</v>
      </c>
      <c r="L935">
        <v>1</v>
      </c>
      <c r="M935">
        <v>10</v>
      </c>
      <c r="N935" t="s">
        <v>48</v>
      </c>
      <c r="O935">
        <v>952688</v>
      </c>
      <c r="U935">
        <f>Table1[[#This Row],[Interview_Date]]-Table1[[#This Row],[Application_Date]]</f>
        <v>10</v>
      </c>
      <c r="V935" t="str">
        <f>IF(OR(Table1[[#This Row],[Offer_Date]]="",Table1[[#This Row],[Interview_Date]]=""),"",Table1[[#This Row],[Offer_Date]]-Table1[[#This Row],[Interview_Date]])</f>
        <v/>
      </c>
    </row>
    <row r="936" spans="1:22" x14ac:dyDescent="0.3">
      <c r="A936" t="s">
        <v>991</v>
      </c>
      <c r="B936" t="s">
        <v>38</v>
      </c>
      <c r="C936" t="s">
        <v>66</v>
      </c>
      <c r="D936" t="s">
        <v>18</v>
      </c>
      <c r="E936">
        <v>32</v>
      </c>
      <c r="F936" t="s">
        <v>19</v>
      </c>
      <c r="G936" t="s">
        <v>60</v>
      </c>
      <c r="H936" t="s">
        <v>51</v>
      </c>
      <c r="I936" s="1">
        <v>44884</v>
      </c>
      <c r="J936" s="1">
        <v>44895</v>
      </c>
      <c r="L936">
        <v>4</v>
      </c>
      <c r="M936">
        <v>4</v>
      </c>
      <c r="N936" t="s">
        <v>48</v>
      </c>
      <c r="O936">
        <v>561848</v>
      </c>
      <c r="U936">
        <f>Table1[[#This Row],[Interview_Date]]-Table1[[#This Row],[Application_Date]]</f>
        <v>11</v>
      </c>
      <c r="V936" t="str">
        <f>IF(OR(Table1[[#This Row],[Offer_Date]]="",Table1[[#This Row],[Interview_Date]]=""),"",Table1[[#This Row],[Offer_Date]]-Table1[[#This Row],[Interview_Date]])</f>
        <v/>
      </c>
    </row>
    <row r="937" spans="1:22" x14ac:dyDescent="0.3">
      <c r="A937" t="s">
        <v>992</v>
      </c>
      <c r="B937" t="s">
        <v>16</v>
      </c>
      <c r="C937" t="s">
        <v>30</v>
      </c>
      <c r="D937" t="s">
        <v>18</v>
      </c>
      <c r="E937">
        <v>40</v>
      </c>
      <c r="F937" t="s">
        <v>34</v>
      </c>
      <c r="G937" t="s">
        <v>60</v>
      </c>
      <c r="H937" t="s">
        <v>40</v>
      </c>
      <c r="I937" s="1">
        <v>45091</v>
      </c>
      <c r="J937" s="1">
        <v>45100</v>
      </c>
      <c r="K937" s="1">
        <v>45106</v>
      </c>
      <c r="L937">
        <v>1</v>
      </c>
      <c r="M937">
        <v>2</v>
      </c>
      <c r="N937" t="s">
        <v>22</v>
      </c>
      <c r="O937">
        <v>1060323</v>
      </c>
      <c r="U937">
        <f>Table1[[#This Row],[Interview_Date]]-Table1[[#This Row],[Application_Date]]</f>
        <v>9</v>
      </c>
      <c r="V937">
        <f>IF(OR(Table1[[#This Row],[Offer_Date]]="",Table1[[#This Row],[Interview_Date]]=""),"",Table1[[#This Row],[Offer_Date]]-Table1[[#This Row],[Interview_Date]])</f>
        <v>6</v>
      </c>
    </row>
    <row r="938" spans="1:22" x14ac:dyDescent="0.3">
      <c r="A938" t="s">
        <v>993</v>
      </c>
      <c r="B938" t="s">
        <v>58</v>
      </c>
      <c r="C938" t="s">
        <v>69</v>
      </c>
      <c r="D938" t="s">
        <v>26</v>
      </c>
      <c r="E938">
        <v>37</v>
      </c>
      <c r="F938" t="s">
        <v>39</v>
      </c>
      <c r="G938" t="s">
        <v>60</v>
      </c>
      <c r="H938" t="s">
        <v>40</v>
      </c>
      <c r="I938" s="1">
        <v>45113</v>
      </c>
      <c r="J938" s="1">
        <v>45122</v>
      </c>
      <c r="L938">
        <v>4</v>
      </c>
      <c r="M938">
        <v>3</v>
      </c>
      <c r="N938" t="s">
        <v>28</v>
      </c>
      <c r="O938">
        <v>1121753</v>
      </c>
      <c r="U938">
        <f>Table1[[#This Row],[Interview_Date]]-Table1[[#This Row],[Application_Date]]</f>
        <v>9</v>
      </c>
      <c r="V938" t="str">
        <f>IF(OR(Table1[[#This Row],[Offer_Date]]="",Table1[[#This Row],[Interview_Date]]=""),"",Table1[[#This Row],[Offer_Date]]-Table1[[#This Row],[Interview_Date]])</f>
        <v/>
      </c>
    </row>
    <row r="939" spans="1:22" x14ac:dyDescent="0.3">
      <c r="A939" t="s">
        <v>994</v>
      </c>
      <c r="B939" t="s">
        <v>42</v>
      </c>
      <c r="C939" t="s">
        <v>53</v>
      </c>
      <c r="D939" t="s">
        <v>26</v>
      </c>
      <c r="E939">
        <v>25</v>
      </c>
      <c r="F939" t="s">
        <v>56</v>
      </c>
      <c r="G939" t="s">
        <v>20</v>
      </c>
      <c r="H939" t="s">
        <v>40</v>
      </c>
      <c r="I939" s="1">
        <v>44308</v>
      </c>
      <c r="J939" s="1">
        <v>44314</v>
      </c>
      <c r="L939">
        <v>3</v>
      </c>
      <c r="M939">
        <v>2</v>
      </c>
      <c r="N939" t="s">
        <v>48</v>
      </c>
      <c r="O939">
        <v>1091866</v>
      </c>
      <c r="U939">
        <f>Table1[[#This Row],[Interview_Date]]-Table1[[#This Row],[Application_Date]]</f>
        <v>6</v>
      </c>
      <c r="V939" t="str">
        <f>IF(OR(Table1[[#This Row],[Offer_Date]]="",Table1[[#This Row],[Interview_Date]]=""),"",Table1[[#This Row],[Offer_Date]]-Table1[[#This Row],[Interview_Date]])</f>
        <v/>
      </c>
    </row>
    <row r="940" spans="1:22" x14ac:dyDescent="0.3">
      <c r="A940" t="s">
        <v>995</v>
      </c>
      <c r="B940" t="s">
        <v>47</v>
      </c>
      <c r="C940" t="s">
        <v>66</v>
      </c>
      <c r="D940" t="s">
        <v>26</v>
      </c>
      <c r="E940">
        <v>45</v>
      </c>
      <c r="F940" t="s">
        <v>74</v>
      </c>
      <c r="G940" t="s">
        <v>27</v>
      </c>
      <c r="H940" t="s">
        <v>54</v>
      </c>
      <c r="I940" s="1">
        <v>44678</v>
      </c>
      <c r="J940" s="1">
        <v>44687</v>
      </c>
      <c r="L940">
        <v>1</v>
      </c>
      <c r="M940">
        <v>2</v>
      </c>
      <c r="N940" t="s">
        <v>22</v>
      </c>
      <c r="O940">
        <v>959155</v>
      </c>
      <c r="U940">
        <f>Table1[[#This Row],[Interview_Date]]-Table1[[#This Row],[Application_Date]]</f>
        <v>9</v>
      </c>
      <c r="V940" t="str">
        <f>IF(OR(Table1[[#This Row],[Offer_Date]]="",Table1[[#This Row],[Interview_Date]]=""),"",Table1[[#This Row],[Offer_Date]]-Table1[[#This Row],[Interview_Date]])</f>
        <v/>
      </c>
    </row>
    <row r="941" spans="1:22" x14ac:dyDescent="0.3">
      <c r="A941" t="s">
        <v>996</v>
      </c>
      <c r="B941" t="s">
        <v>58</v>
      </c>
      <c r="C941" t="s">
        <v>50</v>
      </c>
      <c r="D941" t="s">
        <v>26</v>
      </c>
      <c r="E941">
        <v>45</v>
      </c>
      <c r="F941" t="s">
        <v>31</v>
      </c>
      <c r="G941" t="s">
        <v>60</v>
      </c>
      <c r="H941" t="s">
        <v>54</v>
      </c>
      <c r="I941" s="1">
        <v>44345</v>
      </c>
      <c r="J941" s="1">
        <v>44357</v>
      </c>
      <c r="K941" s="1">
        <v>44362</v>
      </c>
      <c r="L941">
        <v>4</v>
      </c>
      <c r="M941">
        <v>3</v>
      </c>
      <c r="N941" t="s">
        <v>28</v>
      </c>
      <c r="O941">
        <v>323183</v>
      </c>
      <c r="U941">
        <f>Table1[[#This Row],[Interview_Date]]-Table1[[#This Row],[Application_Date]]</f>
        <v>12</v>
      </c>
      <c r="V941">
        <f>IF(OR(Table1[[#This Row],[Offer_Date]]="",Table1[[#This Row],[Interview_Date]]=""),"",Table1[[#This Row],[Offer_Date]]-Table1[[#This Row],[Interview_Date]])</f>
        <v>5</v>
      </c>
    </row>
    <row r="942" spans="1:22" x14ac:dyDescent="0.3">
      <c r="A942" t="s">
        <v>997</v>
      </c>
      <c r="B942" t="s">
        <v>16</v>
      </c>
      <c r="C942" t="s">
        <v>43</v>
      </c>
      <c r="D942" t="s">
        <v>18</v>
      </c>
      <c r="E942">
        <v>39</v>
      </c>
      <c r="F942" t="s">
        <v>34</v>
      </c>
      <c r="G942" t="s">
        <v>27</v>
      </c>
      <c r="H942" t="s">
        <v>21</v>
      </c>
      <c r="I942" s="1">
        <v>44474</v>
      </c>
      <c r="J942" s="1">
        <v>44480</v>
      </c>
      <c r="K942" s="1">
        <v>44487</v>
      </c>
      <c r="L942">
        <v>2</v>
      </c>
      <c r="M942">
        <v>7</v>
      </c>
      <c r="N942" t="s">
        <v>48</v>
      </c>
      <c r="O942">
        <v>779383</v>
      </c>
      <c r="U942">
        <f>Table1[[#This Row],[Interview_Date]]-Table1[[#This Row],[Application_Date]]</f>
        <v>6</v>
      </c>
      <c r="V942">
        <f>IF(OR(Table1[[#This Row],[Offer_Date]]="",Table1[[#This Row],[Interview_Date]]=""),"",Table1[[#This Row],[Offer_Date]]-Table1[[#This Row],[Interview_Date]])</f>
        <v>7</v>
      </c>
    </row>
    <row r="943" spans="1:22" x14ac:dyDescent="0.3">
      <c r="A943" t="s">
        <v>998</v>
      </c>
      <c r="B943" t="s">
        <v>65</v>
      </c>
      <c r="C943" t="s">
        <v>50</v>
      </c>
      <c r="D943" t="s">
        <v>18</v>
      </c>
      <c r="E943">
        <v>36</v>
      </c>
      <c r="F943" t="s">
        <v>34</v>
      </c>
      <c r="G943" t="s">
        <v>20</v>
      </c>
      <c r="H943" t="s">
        <v>21</v>
      </c>
      <c r="I943" s="1">
        <v>44474</v>
      </c>
      <c r="J943" s="1">
        <v>44477</v>
      </c>
      <c r="L943">
        <v>5</v>
      </c>
      <c r="M943">
        <v>3</v>
      </c>
      <c r="N943" t="s">
        <v>48</v>
      </c>
      <c r="O943">
        <v>537724</v>
      </c>
      <c r="U943">
        <f>Table1[[#This Row],[Interview_Date]]-Table1[[#This Row],[Application_Date]]</f>
        <v>3</v>
      </c>
      <c r="V943" t="str">
        <f>IF(OR(Table1[[#This Row],[Offer_Date]]="",Table1[[#This Row],[Interview_Date]]=""),"",Table1[[#This Row],[Offer_Date]]-Table1[[#This Row],[Interview_Date]])</f>
        <v/>
      </c>
    </row>
    <row r="944" spans="1:22" x14ac:dyDescent="0.3">
      <c r="A944" t="s">
        <v>999</v>
      </c>
      <c r="B944" t="s">
        <v>72</v>
      </c>
      <c r="C944" t="s">
        <v>59</v>
      </c>
      <c r="D944" t="s">
        <v>26</v>
      </c>
      <c r="E944">
        <v>36</v>
      </c>
      <c r="F944" t="s">
        <v>56</v>
      </c>
      <c r="G944" t="s">
        <v>35</v>
      </c>
      <c r="H944" t="s">
        <v>54</v>
      </c>
      <c r="I944" s="1">
        <v>45264</v>
      </c>
      <c r="J944" s="1">
        <v>45271</v>
      </c>
      <c r="L944">
        <v>3</v>
      </c>
      <c r="M944">
        <v>4</v>
      </c>
      <c r="N944" t="s">
        <v>22</v>
      </c>
      <c r="O944">
        <v>318870</v>
      </c>
      <c r="U944">
        <f>Table1[[#This Row],[Interview_Date]]-Table1[[#This Row],[Application_Date]]</f>
        <v>7</v>
      </c>
      <c r="V944" t="str">
        <f>IF(OR(Table1[[#This Row],[Offer_Date]]="",Table1[[#This Row],[Interview_Date]]=""),"",Table1[[#This Row],[Offer_Date]]-Table1[[#This Row],[Interview_Date]])</f>
        <v/>
      </c>
    </row>
    <row r="945" spans="1:22" x14ac:dyDescent="0.3">
      <c r="A945" t="s">
        <v>1000</v>
      </c>
      <c r="B945" t="s">
        <v>65</v>
      </c>
      <c r="C945" t="s">
        <v>94</v>
      </c>
      <c r="D945" t="s">
        <v>18</v>
      </c>
      <c r="E945">
        <v>28</v>
      </c>
      <c r="F945" t="s">
        <v>34</v>
      </c>
      <c r="G945" t="s">
        <v>20</v>
      </c>
      <c r="H945" t="s">
        <v>54</v>
      </c>
      <c r="I945" s="1">
        <v>44571</v>
      </c>
      <c r="J945" s="1">
        <v>44578</v>
      </c>
      <c r="L945">
        <v>1</v>
      </c>
      <c r="M945">
        <v>2</v>
      </c>
      <c r="N945" t="s">
        <v>45</v>
      </c>
      <c r="O945">
        <v>891297</v>
      </c>
      <c r="U945">
        <f>Table1[[#This Row],[Interview_Date]]-Table1[[#This Row],[Application_Date]]</f>
        <v>7</v>
      </c>
      <c r="V945" t="str">
        <f>IF(OR(Table1[[#This Row],[Offer_Date]]="",Table1[[#This Row],[Interview_Date]]=""),"",Table1[[#This Row],[Offer_Date]]-Table1[[#This Row],[Interview_Date]])</f>
        <v/>
      </c>
    </row>
    <row r="946" spans="1:22" x14ac:dyDescent="0.3">
      <c r="A946" t="s">
        <v>1001</v>
      </c>
      <c r="B946" t="s">
        <v>63</v>
      </c>
      <c r="C946" t="s">
        <v>50</v>
      </c>
      <c r="D946" t="s">
        <v>26</v>
      </c>
      <c r="E946">
        <v>33</v>
      </c>
      <c r="F946" t="s">
        <v>31</v>
      </c>
      <c r="G946" t="s">
        <v>44</v>
      </c>
      <c r="H946" t="s">
        <v>51</v>
      </c>
      <c r="I946" s="1">
        <v>44579</v>
      </c>
      <c r="J946" s="1">
        <v>44591</v>
      </c>
      <c r="L946">
        <v>2</v>
      </c>
      <c r="M946">
        <v>10</v>
      </c>
      <c r="N946" t="s">
        <v>22</v>
      </c>
      <c r="O946">
        <v>425120</v>
      </c>
      <c r="U946">
        <f>Table1[[#This Row],[Interview_Date]]-Table1[[#This Row],[Application_Date]]</f>
        <v>12</v>
      </c>
      <c r="V946" t="str">
        <f>IF(OR(Table1[[#This Row],[Offer_Date]]="",Table1[[#This Row],[Interview_Date]]=""),"",Table1[[#This Row],[Offer_Date]]-Table1[[#This Row],[Interview_Date]])</f>
        <v/>
      </c>
    </row>
    <row r="947" spans="1:22" x14ac:dyDescent="0.3">
      <c r="A947" t="s">
        <v>1002</v>
      </c>
      <c r="B947" t="s">
        <v>58</v>
      </c>
      <c r="C947" t="s">
        <v>66</v>
      </c>
      <c r="D947" t="s">
        <v>26</v>
      </c>
      <c r="E947">
        <v>27</v>
      </c>
      <c r="F947" t="s">
        <v>31</v>
      </c>
      <c r="G947" t="s">
        <v>44</v>
      </c>
      <c r="H947" t="s">
        <v>21</v>
      </c>
      <c r="I947" s="1">
        <v>44802</v>
      </c>
      <c r="J947" s="1">
        <v>44816</v>
      </c>
      <c r="K947" s="1">
        <v>44819</v>
      </c>
      <c r="L947">
        <v>3</v>
      </c>
      <c r="M947">
        <v>8</v>
      </c>
      <c r="N947" t="s">
        <v>28</v>
      </c>
      <c r="O947">
        <v>400132</v>
      </c>
      <c r="U947">
        <f>Table1[[#This Row],[Interview_Date]]-Table1[[#This Row],[Application_Date]]</f>
        <v>14</v>
      </c>
      <c r="V947">
        <f>IF(OR(Table1[[#This Row],[Offer_Date]]="",Table1[[#This Row],[Interview_Date]]=""),"",Table1[[#This Row],[Offer_Date]]-Table1[[#This Row],[Interview_Date]])</f>
        <v>3</v>
      </c>
    </row>
    <row r="948" spans="1:22" x14ac:dyDescent="0.3">
      <c r="A948" t="s">
        <v>1003</v>
      </c>
      <c r="B948" t="s">
        <v>33</v>
      </c>
      <c r="C948" t="s">
        <v>30</v>
      </c>
      <c r="D948" t="s">
        <v>18</v>
      </c>
      <c r="E948">
        <v>39</v>
      </c>
      <c r="F948" t="s">
        <v>34</v>
      </c>
      <c r="G948" t="s">
        <v>20</v>
      </c>
      <c r="H948" t="s">
        <v>40</v>
      </c>
      <c r="I948" s="1">
        <v>45021</v>
      </c>
      <c r="J948" s="1">
        <v>45028</v>
      </c>
      <c r="K948" s="1">
        <v>45031</v>
      </c>
      <c r="L948">
        <v>3</v>
      </c>
      <c r="M948">
        <v>2</v>
      </c>
      <c r="N948" t="s">
        <v>45</v>
      </c>
      <c r="O948">
        <v>629548</v>
      </c>
      <c r="U948">
        <f>Table1[[#This Row],[Interview_Date]]-Table1[[#This Row],[Application_Date]]</f>
        <v>7</v>
      </c>
      <c r="V948">
        <f>IF(OR(Table1[[#This Row],[Offer_Date]]="",Table1[[#This Row],[Interview_Date]]=""),"",Table1[[#This Row],[Offer_Date]]-Table1[[#This Row],[Interview_Date]])</f>
        <v>3</v>
      </c>
    </row>
    <row r="949" spans="1:22" x14ac:dyDescent="0.3">
      <c r="A949" t="s">
        <v>1004</v>
      </c>
      <c r="B949" t="s">
        <v>65</v>
      </c>
      <c r="C949" t="s">
        <v>17</v>
      </c>
      <c r="D949" t="s">
        <v>18</v>
      </c>
      <c r="E949">
        <v>36</v>
      </c>
      <c r="F949" t="s">
        <v>31</v>
      </c>
      <c r="G949" t="s">
        <v>27</v>
      </c>
      <c r="H949" t="s">
        <v>36</v>
      </c>
      <c r="I949" s="1">
        <v>44624</v>
      </c>
      <c r="J949" s="1">
        <v>44628</v>
      </c>
      <c r="L949">
        <v>4</v>
      </c>
      <c r="M949">
        <v>2</v>
      </c>
      <c r="N949" t="s">
        <v>48</v>
      </c>
      <c r="O949">
        <v>795624</v>
      </c>
      <c r="U949">
        <f>Table1[[#This Row],[Interview_Date]]-Table1[[#This Row],[Application_Date]]</f>
        <v>4</v>
      </c>
      <c r="V949" t="str">
        <f>IF(OR(Table1[[#This Row],[Offer_Date]]="",Table1[[#This Row],[Interview_Date]]=""),"",Table1[[#This Row],[Offer_Date]]-Table1[[#This Row],[Interview_Date]])</f>
        <v/>
      </c>
    </row>
    <row r="950" spans="1:22" x14ac:dyDescent="0.3">
      <c r="A950" t="s">
        <v>1005</v>
      </c>
      <c r="B950" t="s">
        <v>58</v>
      </c>
      <c r="C950" t="s">
        <v>17</v>
      </c>
      <c r="D950" t="s">
        <v>18</v>
      </c>
      <c r="E950">
        <v>38</v>
      </c>
      <c r="F950" t="s">
        <v>19</v>
      </c>
      <c r="G950" t="s">
        <v>27</v>
      </c>
      <c r="H950" t="s">
        <v>36</v>
      </c>
      <c r="I950" s="1">
        <v>44770</v>
      </c>
      <c r="J950" s="1">
        <v>44781</v>
      </c>
      <c r="L950">
        <v>3</v>
      </c>
      <c r="M950">
        <v>3</v>
      </c>
      <c r="N950" t="s">
        <v>45</v>
      </c>
      <c r="O950">
        <v>716286</v>
      </c>
      <c r="U950">
        <f>Table1[[#This Row],[Interview_Date]]-Table1[[#This Row],[Application_Date]]</f>
        <v>11</v>
      </c>
      <c r="V950" t="str">
        <f>IF(OR(Table1[[#This Row],[Offer_Date]]="",Table1[[#This Row],[Interview_Date]]=""),"",Table1[[#This Row],[Offer_Date]]-Table1[[#This Row],[Interview_Date]])</f>
        <v/>
      </c>
    </row>
    <row r="951" spans="1:22" x14ac:dyDescent="0.3">
      <c r="A951" t="s">
        <v>1006</v>
      </c>
      <c r="B951" t="s">
        <v>42</v>
      </c>
      <c r="C951" t="s">
        <v>30</v>
      </c>
      <c r="D951" t="s">
        <v>26</v>
      </c>
      <c r="E951">
        <v>38</v>
      </c>
      <c r="F951" t="s">
        <v>39</v>
      </c>
      <c r="G951" t="s">
        <v>44</v>
      </c>
      <c r="H951" t="s">
        <v>21</v>
      </c>
      <c r="I951" s="1">
        <v>44553</v>
      </c>
      <c r="J951" s="1">
        <v>44564</v>
      </c>
      <c r="K951" s="1">
        <v>44567</v>
      </c>
      <c r="L951">
        <v>2</v>
      </c>
      <c r="M951">
        <v>5</v>
      </c>
      <c r="N951" t="s">
        <v>45</v>
      </c>
      <c r="O951">
        <v>984191</v>
      </c>
      <c r="U951">
        <f>Table1[[#This Row],[Interview_Date]]-Table1[[#This Row],[Application_Date]]</f>
        <v>11</v>
      </c>
      <c r="V951">
        <f>IF(OR(Table1[[#This Row],[Offer_Date]]="",Table1[[#This Row],[Interview_Date]]=""),"",Table1[[#This Row],[Offer_Date]]-Table1[[#This Row],[Interview_Date]])</f>
        <v>3</v>
      </c>
    </row>
    <row r="952" spans="1:22" x14ac:dyDescent="0.3">
      <c r="A952" t="s">
        <v>1007</v>
      </c>
      <c r="B952" t="s">
        <v>65</v>
      </c>
      <c r="C952" t="s">
        <v>43</v>
      </c>
      <c r="D952" t="s">
        <v>26</v>
      </c>
      <c r="E952">
        <v>23</v>
      </c>
      <c r="F952" t="s">
        <v>56</v>
      </c>
      <c r="G952" t="s">
        <v>44</v>
      </c>
      <c r="H952" t="s">
        <v>36</v>
      </c>
      <c r="I952" s="1">
        <v>44442</v>
      </c>
      <c r="J952" s="1">
        <v>44446</v>
      </c>
      <c r="K952" s="1">
        <v>44448</v>
      </c>
      <c r="L952">
        <v>3</v>
      </c>
      <c r="M952">
        <v>4</v>
      </c>
      <c r="N952" t="s">
        <v>48</v>
      </c>
      <c r="O952">
        <v>958254</v>
      </c>
      <c r="U952">
        <f>Table1[[#This Row],[Interview_Date]]-Table1[[#This Row],[Application_Date]]</f>
        <v>4</v>
      </c>
      <c r="V952">
        <f>IF(OR(Table1[[#This Row],[Offer_Date]]="",Table1[[#This Row],[Interview_Date]]=""),"",Table1[[#This Row],[Offer_Date]]-Table1[[#This Row],[Interview_Date]])</f>
        <v>2</v>
      </c>
    </row>
    <row r="953" spans="1:22" x14ac:dyDescent="0.3">
      <c r="A953" t="s">
        <v>1008</v>
      </c>
      <c r="B953" t="s">
        <v>58</v>
      </c>
      <c r="C953" t="s">
        <v>43</v>
      </c>
      <c r="D953" t="s">
        <v>18</v>
      </c>
      <c r="E953">
        <v>44</v>
      </c>
      <c r="F953" t="s">
        <v>31</v>
      </c>
      <c r="G953" t="s">
        <v>20</v>
      </c>
      <c r="H953" t="s">
        <v>36</v>
      </c>
      <c r="I953" s="1">
        <v>45296</v>
      </c>
      <c r="J953" s="1">
        <v>45306</v>
      </c>
      <c r="K953" s="1">
        <v>45310</v>
      </c>
      <c r="L953">
        <v>1</v>
      </c>
      <c r="M953">
        <v>9</v>
      </c>
      <c r="N953" t="s">
        <v>48</v>
      </c>
      <c r="O953">
        <v>523449</v>
      </c>
      <c r="U953">
        <f>Table1[[#This Row],[Interview_Date]]-Table1[[#This Row],[Application_Date]]</f>
        <v>10</v>
      </c>
      <c r="V953">
        <f>IF(OR(Table1[[#This Row],[Offer_Date]]="",Table1[[#This Row],[Interview_Date]]=""),"",Table1[[#This Row],[Offer_Date]]-Table1[[#This Row],[Interview_Date]])</f>
        <v>4</v>
      </c>
    </row>
    <row r="954" spans="1:22" x14ac:dyDescent="0.3">
      <c r="A954" t="s">
        <v>1009</v>
      </c>
      <c r="B954" t="s">
        <v>72</v>
      </c>
      <c r="C954" t="s">
        <v>66</v>
      </c>
      <c r="D954" t="s">
        <v>26</v>
      </c>
      <c r="E954">
        <v>42</v>
      </c>
      <c r="F954" t="s">
        <v>39</v>
      </c>
      <c r="G954" t="s">
        <v>60</v>
      </c>
      <c r="H954" t="s">
        <v>36</v>
      </c>
      <c r="I954" s="1">
        <v>44446</v>
      </c>
      <c r="J954" s="1">
        <v>44452</v>
      </c>
      <c r="K954" s="1">
        <v>44458</v>
      </c>
      <c r="L954">
        <v>3</v>
      </c>
      <c r="M954">
        <v>4</v>
      </c>
      <c r="N954" t="s">
        <v>45</v>
      </c>
      <c r="O954">
        <v>547701</v>
      </c>
      <c r="U954">
        <f>Table1[[#This Row],[Interview_Date]]-Table1[[#This Row],[Application_Date]]</f>
        <v>6</v>
      </c>
      <c r="V954">
        <f>IF(OR(Table1[[#This Row],[Offer_Date]]="",Table1[[#This Row],[Interview_Date]]=""),"",Table1[[#This Row],[Offer_Date]]-Table1[[#This Row],[Interview_Date]])</f>
        <v>6</v>
      </c>
    </row>
    <row r="955" spans="1:22" x14ac:dyDescent="0.3">
      <c r="A955" t="s">
        <v>1010</v>
      </c>
      <c r="B955" t="s">
        <v>72</v>
      </c>
      <c r="C955" t="s">
        <v>53</v>
      </c>
      <c r="D955" t="s">
        <v>18</v>
      </c>
      <c r="E955">
        <v>32</v>
      </c>
      <c r="F955" t="s">
        <v>31</v>
      </c>
      <c r="G955" t="s">
        <v>60</v>
      </c>
      <c r="H955" t="s">
        <v>51</v>
      </c>
      <c r="I955" s="1">
        <v>45243</v>
      </c>
      <c r="J955" s="1">
        <v>45254</v>
      </c>
      <c r="L955">
        <v>2</v>
      </c>
      <c r="M955">
        <v>5</v>
      </c>
      <c r="N955" t="s">
        <v>45</v>
      </c>
      <c r="O955">
        <v>946560</v>
      </c>
      <c r="U955">
        <f>Table1[[#This Row],[Interview_Date]]-Table1[[#This Row],[Application_Date]]</f>
        <v>11</v>
      </c>
      <c r="V955" t="str">
        <f>IF(OR(Table1[[#This Row],[Offer_Date]]="",Table1[[#This Row],[Interview_Date]]=""),"",Table1[[#This Row],[Offer_Date]]-Table1[[#This Row],[Interview_Date]])</f>
        <v/>
      </c>
    </row>
    <row r="956" spans="1:22" x14ac:dyDescent="0.3">
      <c r="A956" t="s">
        <v>1011</v>
      </c>
      <c r="B956" t="s">
        <v>16</v>
      </c>
      <c r="C956" t="s">
        <v>59</v>
      </c>
      <c r="D956" t="s">
        <v>18</v>
      </c>
      <c r="E956">
        <v>29</v>
      </c>
      <c r="F956" t="s">
        <v>39</v>
      </c>
      <c r="G956" t="s">
        <v>60</v>
      </c>
      <c r="H956" t="s">
        <v>21</v>
      </c>
      <c r="I956" s="1">
        <v>45272</v>
      </c>
      <c r="J956" s="1">
        <v>45286</v>
      </c>
      <c r="K956" s="1">
        <v>45290</v>
      </c>
      <c r="L956">
        <v>1</v>
      </c>
      <c r="M956">
        <v>4</v>
      </c>
      <c r="N956" t="s">
        <v>48</v>
      </c>
      <c r="O956">
        <v>364593</v>
      </c>
      <c r="U956">
        <f>Table1[[#This Row],[Interview_Date]]-Table1[[#This Row],[Application_Date]]</f>
        <v>14</v>
      </c>
      <c r="V956">
        <f>IF(OR(Table1[[#This Row],[Offer_Date]]="",Table1[[#This Row],[Interview_Date]]=""),"",Table1[[#This Row],[Offer_Date]]-Table1[[#This Row],[Interview_Date]])</f>
        <v>4</v>
      </c>
    </row>
    <row r="957" spans="1:22" x14ac:dyDescent="0.3">
      <c r="A957" t="s">
        <v>1012</v>
      </c>
      <c r="B957" t="s">
        <v>65</v>
      </c>
      <c r="C957" t="s">
        <v>43</v>
      </c>
      <c r="D957" t="s">
        <v>26</v>
      </c>
      <c r="E957">
        <v>35</v>
      </c>
      <c r="F957" t="s">
        <v>19</v>
      </c>
      <c r="G957" t="s">
        <v>27</v>
      </c>
      <c r="H957" t="s">
        <v>51</v>
      </c>
      <c r="I957" s="1">
        <v>44472</v>
      </c>
      <c r="J957" s="1">
        <v>44486</v>
      </c>
      <c r="K957" s="1">
        <v>44488</v>
      </c>
      <c r="L957">
        <v>2</v>
      </c>
      <c r="M957">
        <v>2</v>
      </c>
      <c r="N957" t="s">
        <v>28</v>
      </c>
      <c r="O957">
        <v>963684</v>
      </c>
      <c r="U957">
        <f>Table1[[#This Row],[Interview_Date]]-Table1[[#This Row],[Application_Date]]</f>
        <v>14</v>
      </c>
      <c r="V957">
        <f>IF(OR(Table1[[#This Row],[Offer_Date]]="",Table1[[#This Row],[Interview_Date]]=""),"",Table1[[#This Row],[Offer_Date]]-Table1[[#This Row],[Interview_Date]])</f>
        <v>2</v>
      </c>
    </row>
    <row r="958" spans="1:22" x14ac:dyDescent="0.3">
      <c r="A958" t="s">
        <v>1013</v>
      </c>
      <c r="B958" t="s">
        <v>33</v>
      </c>
      <c r="C958" t="s">
        <v>25</v>
      </c>
      <c r="D958" t="s">
        <v>26</v>
      </c>
      <c r="E958">
        <v>37</v>
      </c>
      <c r="F958" t="s">
        <v>19</v>
      </c>
      <c r="G958" t="s">
        <v>44</v>
      </c>
      <c r="H958" t="s">
        <v>40</v>
      </c>
      <c r="I958" s="1">
        <v>45397</v>
      </c>
      <c r="J958" s="1">
        <v>45410</v>
      </c>
      <c r="K958" s="1">
        <v>45414</v>
      </c>
      <c r="L958">
        <v>2</v>
      </c>
      <c r="M958">
        <v>2</v>
      </c>
      <c r="N958" t="s">
        <v>48</v>
      </c>
      <c r="O958">
        <v>916373</v>
      </c>
      <c r="U958">
        <f>Table1[[#This Row],[Interview_Date]]-Table1[[#This Row],[Application_Date]]</f>
        <v>13</v>
      </c>
      <c r="V958">
        <f>IF(OR(Table1[[#This Row],[Offer_Date]]="",Table1[[#This Row],[Interview_Date]]=""),"",Table1[[#This Row],[Offer_Date]]-Table1[[#This Row],[Interview_Date]])</f>
        <v>4</v>
      </c>
    </row>
    <row r="959" spans="1:22" x14ac:dyDescent="0.3">
      <c r="A959" t="s">
        <v>1014</v>
      </c>
      <c r="B959" t="s">
        <v>33</v>
      </c>
      <c r="C959" t="s">
        <v>25</v>
      </c>
      <c r="D959" t="s">
        <v>26</v>
      </c>
      <c r="E959">
        <v>41</v>
      </c>
      <c r="F959" t="s">
        <v>39</v>
      </c>
      <c r="G959" t="s">
        <v>44</v>
      </c>
      <c r="H959" t="s">
        <v>21</v>
      </c>
      <c r="I959" s="1">
        <v>44681</v>
      </c>
      <c r="J959" s="1">
        <v>44689</v>
      </c>
      <c r="K959" s="1">
        <v>44696</v>
      </c>
      <c r="L959">
        <v>2</v>
      </c>
      <c r="M959">
        <v>4</v>
      </c>
      <c r="N959" t="s">
        <v>22</v>
      </c>
      <c r="O959">
        <v>538632</v>
      </c>
      <c r="U959">
        <f>Table1[[#This Row],[Interview_Date]]-Table1[[#This Row],[Application_Date]]</f>
        <v>8</v>
      </c>
      <c r="V959">
        <f>IF(OR(Table1[[#This Row],[Offer_Date]]="",Table1[[#This Row],[Interview_Date]]=""),"",Table1[[#This Row],[Offer_Date]]-Table1[[#This Row],[Interview_Date]])</f>
        <v>7</v>
      </c>
    </row>
    <row r="960" spans="1:22" x14ac:dyDescent="0.3">
      <c r="A960" t="s">
        <v>1015</v>
      </c>
      <c r="B960" t="s">
        <v>24</v>
      </c>
      <c r="C960" t="s">
        <v>43</v>
      </c>
      <c r="D960" t="s">
        <v>18</v>
      </c>
      <c r="E960">
        <v>29</v>
      </c>
      <c r="F960" t="s">
        <v>74</v>
      </c>
      <c r="G960" t="s">
        <v>60</v>
      </c>
      <c r="H960" t="s">
        <v>40</v>
      </c>
      <c r="I960" s="1">
        <v>44308</v>
      </c>
      <c r="J960" s="1">
        <v>44314</v>
      </c>
      <c r="L960">
        <v>4</v>
      </c>
      <c r="M960">
        <v>9</v>
      </c>
      <c r="N960" t="s">
        <v>45</v>
      </c>
      <c r="O960">
        <v>811615</v>
      </c>
      <c r="U960">
        <f>Table1[[#This Row],[Interview_Date]]-Table1[[#This Row],[Application_Date]]</f>
        <v>6</v>
      </c>
      <c r="V960" t="str">
        <f>IF(OR(Table1[[#This Row],[Offer_Date]]="",Table1[[#This Row],[Interview_Date]]=""),"",Table1[[#This Row],[Offer_Date]]-Table1[[#This Row],[Interview_Date]])</f>
        <v/>
      </c>
    </row>
    <row r="961" spans="1:22" x14ac:dyDescent="0.3">
      <c r="A961" t="s">
        <v>1016</v>
      </c>
      <c r="B961" t="s">
        <v>42</v>
      </c>
      <c r="C961" t="s">
        <v>43</v>
      </c>
      <c r="D961" t="s">
        <v>18</v>
      </c>
      <c r="E961">
        <v>31</v>
      </c>
      <c r="F961" t="s">
        <v>19</v>
      </c>
      <c r="G961" t="s">
        <v>20</v>
      </c>
      <c r="H961" t="s">
        <v>36</v>
      </c>
      <c r="I961" s="1">
        <v>44210</v>
      </c>
      <c r="J961" s="1">
        <v>44215</v>
      </c>
      <c r="K961" s="1">
        <v>44218</v>
      </c>
      <c r="L961">
        <v>2</v>
      </c>
      <c r="M961">
        <v>5</v>
      </c>
      <c r="N961" t="s">
        <v>28</v>
      </c>
      <c r="O961">
        <v>1142814</v>
      </c>
      <c r="U961">
        <f>Table1[[#This Row],[Interview_Date]]-Table1[[#This Row],[Application_Date]]</f>
        <v>5</v>
      </c>
      <c r="V961">
        <f>IF(OR(Table1[[#This Row],[Offer_Date]]="",Table1[[#This Row],[Interview_Date]]=""),"",Table1[[#This Row],[Offer_Date]]-Table1[[#This Row],[Interview_Date]])</f>
        <v>3</v>
      </c>
    </row>
    <row r="962" spans="1:22" x14ac:dyDescent="0.3">
      <c r="A962" t="s">
        <v>1017</v>
      </c>
      <c r="B962" t="s">
        <v>42</v>
      </c>
      <c r="C962" t="s">
        <v>66</v>
      </c>
      <c r="D962" t="s">
        <v>26</v>
      </c>
      <c r="E962">
        <v>42</v>
      </c>
      <c r="F962" t="s">
        <v>74</v>
      </c>
      <c r="G962" t="s">
        <v>27</v>
      </c>
      <c r="H962" t="s">
        <v>40</v>
      </c>
      <c r="I962" s="1">
        <v>45007</v>
      </c>
      <c r="J962" s="1">
        <v>45015</v>
      </c>
      <c r="L962">
        <v>1</v>
      </c>
      <c r="M962">
        <v>6</v>
      </c>
      <c r="N962" t="s">
        <v>45</v>
      </c>
      <c r="O962">
        <v>570675</v>
      </c>
      <c r="U962">
        <f>Table1[[#This Row],[Interview_Date]]-Table1[[#This Row],[Application_Date]]</f>
        <v>8</v>
      </c>
      <c r="V962" t="str">
        <f>IF(OR(Table1[[#This Row],[Offer_Date]]="",Table1[[#This Row],[Interview_Date]]=""),"",Table1[[#This Row],[Offer_Date]]-Table1[[#This Row],[Interview_Date]])</f>
        <v/>
      </c>
    </row>
    <row r="963" spans="1:22" x14ac:dyDescent="0.3">
      <c r="A963" t="s">
        <v>1018</v>
      </c>
      <c r="B963" t="s">
        <v>72</v>
      </c>
      <c r="C963" t="s">
        <v>50</v>
      </c>
      <c r="D963" t="s">
        <v>18</v>
      </c>
      <c r="E963">
        <v>41</v>
      </c>
      <c r="F963" t="s">
        <v>31</v>
      </c>
      <c r="G963" t="s">
        <v>27</v>
      </c>
      <c r="H963" t="s">
        <v>54</v>
      </c>
      <c r="I963" s="1">
        <v>45051</v>
      </c>
      <c r="J963" s="1">
        <v>45056</v>
      </c>
      <c r="L963">
        <v>4</v>
      </c>
      <c r="M963">
        <v>8</v>
      </c>
      <c r="N963" t="s">
        <v>48</v>
      </c>
      <c r="O963">
        <v>434352</v>
      </c>
      <c r="U963">
        <f>Table1[[#This Row],[Interview_Date]]-Table1[[#This Row],[Application_Date]]</f>
        <v>5</v>
      </c>
      <c r="V963" t="str">
        <f>IF(OR(Table1[[#This Row],[Offer_Date]]="",Table1[[#This Row],[Interview_Date]]=""),"",Table1[[#This Row],[Offer_Date]]-Table1[[#This Row],[Interview_Date]])</f>
        <v/>
      </c>
    </row>
    <row r="964" spans="1:22" x14ac:dyDescent="0.3">
      <c r="A964" t="s">
        <v>1019</v>
      </c>
      <c r="B964" t="s">
        <v>47</v>
      </c>
      <c r="C964" t="s">
        <v>17</v>
      </c>
      <c r="D964" t="s">
        <v>18</v>
      </c>
      <c r="E964">
        <v>37</v>
      </c>
      <c r="F964" t="s">
        <v>31</v>
      </c>
      <c r="G964" t="s">
        <v>35</v>
      </c>
      <c r="H964" t="s">
        <v>54</v>
      </c>
      <c r="I964" s="1">
        <v>44198</v>
      </c>
      <c r="J964" s="1">
        <v>44210</v>
      </c>
      <c r="L964">
        <v>2</v>
      </c>
      <c r="M964">
        <v>8</v>
      </c>
      <c r="N964" t="s">
        <v>28</v>
      </c>
      <c r="O964">
        <v>1020001</v>
      </c>
      <c r="U964">
        <f>Table1[[#This Row],[Interview_Date]]-Table1[[#This Row],[Application_Date]]</f>
        <v>12</v>
      </c>
      <c r="V964" t="str">
        <f>IF(OR(Table1[[#This Row],[Offer_Date]]="",Table1[[#This Row],[Interview_Date]]=""),"",Table1[[#This Row],[Offer_Date]]-Table1[[#This Row],[Interview_Date]])</f>
        <v/>
      </c>
    </row>
    <row r="965" spans="1:22" x14ac:dyDescent="0.3">
      <c r="A965" t="s">
        <v>1020</v>
      </c>
      <c r="B965" t="s">
        <v>58</v>
      </c>
      <c r="C965" t="s">
        <v>30</v>
      </c>
      <c r="D965" t="s">
        <v>18</v>
      </c>
      <c r="E965">
        <v>22</v>
      </c>
      <c r="F965" t="s">
        <v>74</v>
      </c>
      <c r="G965" t="s">
        <v>35</v>
      </c>
      <c r="H965" t="s">
        <v>21</v>
      </c>
      <c r="I965" s="1">
        <v>44999</v>
      </c>
      <c r="J965" s="1">
        <v>45010</v>
      </c>
      <c r="L965">
        <v>2</v>
      </c>
      <c r="M965">
        <v>3</v>
      </c>
      <c r="N965" t="s">
        <v>28</v>
      </c>
      <c r="O965">
        <v>1036007</v>
      </c>
      <c r="U965">
        <f>Table1[[#This Row],[Interview_Date]]-Table1[[#This Row],[Application_Date]]</f>
        <v>11</v>
      </c>
      <c r="V965" t="str">
        <f>IF(OR(Table1[[#This Row],[Offer_Date]]="",Table1[[#This Row],[Interview_Date]]=""),"",Table1[[#This Row],[Offer_Date]]-Table1[[#This Row],[Interview_Date]])</f>
        <v/>
      </c>
    </row>
    <row r="966" spans="1:22" x14ac:dyDescent="0.3">
      <c r="A966" t="s">
        <v>1021</v>
      </c>
      <c r="B966" t="s">
        <v>47</v>
      </c>
      <c r="C966" t="s">
        <v>59</v>
      </c>
      <c r="D966" t="s">
        <v>26</v>
      </c>
      <c r="E966">
        <v>36</v>
      </c>
      <c r="F966" t="s">
        <v>39</v>
      </c>
      <c r="G966" t="s">
        <v>20</v>
      </c>
      <c r="H966" t="s">
        <v>51</v>
      </c>
      <c r="I966" s="1">
        <v>44490</v>
      </c>
      <c r="J966" s="1">
        <v>44493</v>
      </c>
      <c r="K966" s="1">
        <v>44498</v>
      </c>
      <c r="L966">
        <v>5</v>
      </c>
      <c r="M966">
        <v>8</v>
      </c>
      <c r="N966" t="s">
        <v>22</v>
      </c>
      <c r="O966">
        <v>697734</v>
      </c>
      <c r="U966">
        <f>Table1[[#This Row],[Interview_Date]]-Table1[[#This Row],[Application_Date]]</f>
        <v>3</v>
      </c>
      <c r="V966">
        <f>IF(OR(Table1[[#This Row],[Offer_Date]]="",Table1[[#This Row],[Interview_Date]]=""),"",Table1[[#This Row],[Offer_Date]]-Table1[[#This Row],[Interview_Date]])</f>
        <v>5</v>
      </c>
    </row>
    <row r="967" spans="1:22" x14ac:dyDescent="0.3">
      <c r="A967" t="s">
        <v>1022</v>
      </c>
      <c r="B967" t="s">
        <v>24</v>
      </c>
      <c r="C967" t="s">
        <v>53</v>
      </c>
      <c r="D967" t="s">
        <v>26</v>
      </c>
      <c r="E967">
        <v>37</v>
      </c>
      <c r="F967" t="s">
        <v>39</v>
      </c>
      <c r="G967" t="s">
        <v>20</v>
      </c>
      <c r="H967" t="s">
        <v>36</v>
      </c>
      <c r="I967" s="1">
        <v>44647</v>
      </c>
      <c r="J967" s="1">
        <v>44657</v>
      </c>
      <c r="L967">
        <v>1</v>
      </c>
      <c r="M967">
        <v>3</v>
      </c>
      <c r="N967" t="s">
        <v>45</v>
      </c>
      <c r="O967">
        <v>989170</v>
      </c>
      <c r="U967">
        <f>Table1[[#This Row],[Interview_Date]]-Table1[[#This Row],[Application_Date]]</f>
        <v>10</v>
      </c>
      <c r="V967" t="str">
        <f>IF(OR(Table1[[#This Row],[Offer_Date]]="",Table1[[#This Row],[Interview_Date]]=""),"",Table1[[#This Row],[Offer_Date]]-Table1[[#This Row],[Interview_Date]])</f>
        <v/>
      </c>
    </row>
    <row r="968" spans="1:22" x14ac:dyDescent="0.3">
      <c r="A968" t="s">
        <v>1023</v>
      </c>
      <c r="B968" t="s">
        <v>38</v>
      </c>
      <c r="C968" t="s">
        <v>25</v>
      </c>
      <c r="D968" t="s">
        <v>26</v>
      </c>
      <c r="E968">
        <v>26</v>
      </c>
      <c r="F968" t="s">
        <v>34</v>
      </c>
      <c r="G968" t="s">
        <v>35</v>
      </c>
      <c r="H968" t="s">
        <v>36</v>
      </c>
      <c r="I968" s="1">
        <v>44765</v>
      </c>
      <c r="J968" s="1">
        <v>44768</v>
      </c>
      <c r="L968">
        <v>4</v>
      </c>
      <c r="M968">
        <v>8</v>
      </c>
      <c r="N968" t="s">
        <v>45</v>
      </c>
      <c r="O968">
        <v>737748</v>
      </c>
      <c r="U968">
        <f>Table1[[#This Row],[Interview_Date]]-Table1[[#This Row],[Application_Date]]</f>
        <v>3</v>
      </c>
      <c r="V968" t="str">
        <f>IF(OR(Table1[[#This Row],[Offer_Date]]="",Table1[[#This Row],[Interview_Date]]=""),"",Table1[[#This Row],[Offer_Date]]-Table1[[#This Row],[Interview_Date]])</f>
        <v/>
      </c>
    </row>
    <row r="969" spans="1:22" x14ac:dyDescent="0.3">
      <c r="A969" t="s">
        <v>1024</v>
      </c>
      <c r="B969" t="s">
        <v>65</v>
      </c>
      <c r="C969" t="s">
        <v>94</v>
      </c>
      <c r="D969" t="s">
        <v>26</v>
      </c>
      <c r="E969">
        <v>31</v>
      </c>
      <c r="F969" t="s">
        <v>34</v>
      </c>
      <c r="G969" t="s">
        <v>44</v>
      </c>
      <c r="H969" t="s">
        <v>54</v>
      </c>
      <c r="I969" s="1">
        <v>44612</v>
      </c>
      <c r="J969" s="1">
        <v>44624</v>
      </c>
      <c r="L969">
        <v>1</v>
      </c>
      <c r="M969">
        <v>4</v>
      </c>
      <c r="N969" t="s">
        <v>28</v>
      </c>
      <c r="O969">
        <v>462217</v>
      </c>
      <c r="U969">
        <f>Table1[[#This Row],[Interview_Date]]-Table1[[#This Row],[Application_Date]]</f>
        <v>12</v>
      </c>
      <c r="V969" t="str">
        <f>IF(OR(Table1[[#This Row],[Offer_Date]]="",Table1[[#This Row],[Interview_Date]]=""),"",Table1[[#This Row],[Offer_Date]]-Table1[[#This Row],[Interview_Date]])</f>
        <v/>
      </c>
    </row>
    <row r="970" spans="1:22" x14ac:dyDescent="0.3">
      <c r="A970" t="s">
        <v>1025</v>
      </c>
      <c r="B970" t="s">
        <v>47</v>
      </c>
      <c r="C970" t="s">
        <v>17</v>
      </c>
      <c r="D970" t="s">
        <v>26</v>
      </c>
      <c r="E970">
        <v>31</v>
      </c>
      <c r="F970" t="s">
        <v>56</v>
      </c>
      <c r="G970" t="s">
        <v>60</v>
      </c>
      <c r="H970" t="s">
        <v>51</v>
      </c>
      <c r="I970" s="1">
        <v>44723</v>
      </c>
      <c r="J970" s="1">
        <v>44727</v>
      </c>
      <c r="K970" s="1">
        <v>44734</v>
      </c>
      <c r="L970">
        <v>2</v>
      </c>
      <c r="M970">
        <v>3</v>
      </c>
      <c r="N970" t="s">
        <v>48</v>
      </c>
      <c r="O970">
        <v>820162</v>
      </c>
      <c r="U970">
        <f>Table1[[#This Row],[Interview_Date]]-Table1[[#This Row],[Application_Date]]</f>
        <v>4</v>
      </c>
      <c r="V970">
        <f>IF(OR(Table1[[#This Row],[Offer_Date]]="",Table1[[#This Row],[Interview_Date]]=""),"",Table1[[#This Row],[Offer_Date]]-Table1[[#This Row],[Interview_Date]])</f>
        <v>7</v>
      </c>
    </row>
    <row r="971" spans="1:22" x14ac:dyDescent="0.3">
      <c r="A971" t="s">
        <v>1026</v>
      </c>
      <c r="B971" t="s">
        <v>16</v>
      </c>
      <c r="C971" t="s">
        <v>94</v>
      </c>
      <c r="D971" t="s">
        <v>18</v>
      </c>
      <c r="E971">
        <v>36</v>
      </c>
      <c r="F971" t="s">
        <v>34</v>
      </c>
      <c r="G971" t="s">
        <v>35</v>
      </c>
      <c r="H971" t="s">
        <v>36</v>
      </c>
      <c r="I971" s="1">
        <v>44820</v>
      </c>
      <c r="J971" s="1">
        <v>44828</v>
      </c>
      <c r="K971" s="1">
        <v>44835</v>
      </c>
      <c r="L971">
        <v>2</v>
      </c>
      <c r="M971">
        <v>2</v>
      </c>
      <c r="N971" t="s">
        <v>22</v>
      </c>
      <c r="O971">
        <v>570101</v>
      </c>
      <c r="U971">
        <f>Table1[[#This Row],[Interview_Date]]-Table1[[#This Row],[Application_Date]]</f>
        <v>8</v>
      </c>
      <c r="V971">
        <f>IF(OR(Table1[[#This Row],[Offer_Date]]="",Table1[[#This Row],[Interview_Date]]=""),"",Table1[[#This Row],[Offer_Date]]-Table1[[#This Row],[Interview_Date]])</f>
        <v>7</v>
      </c>
    </row>
    <row r="972" spans="1:22" x14ac:dyDescent="0.3">
      <c r="A972" t="s">
        <v>1027</v>
      </c>
      <c r="B972" t="s">
        <v>72</v>
      </c>
      <c r="C972" t="s">
        <v>53</v>
      </c>
      <c r="D972" t="s">
        <v>26</v>
      </c>
      <c r="E972">
        <v>28</v>
      </c>
      <c r="F972" t="s">
        <v>19</v>
      </c>
      <c r="G972" t="s">
        <v>44</v>
      </c>
      <c r="H972" t="s">
        <v>36</v>
      </c>
      <c r="I972" s="1">
        <v>45366</v>
      </c>
      <c r="J972" s="1">
        <v>45377</v>
      </c>
      <c r="L972">
        <v>3</v>
      </c>
      <c r="M972">
        <v>5</v>
      </c>
      <c r="N972" t="s">
        <v>22</v>
      </c>
      <c r="O972">
        <v>1029879</v>
      </c>
      <c r="U972">
        <f>Table1[[#This Row],[Interview_Date]]-Table1[[#This Row],[Application_Date]]</f>
        <v>11</v>
      </c>
      <c r="V972" t="str">
        <f>IF(OR(Table1[[#This Row],[Offer_Date]]="",Table1[[#This Row],[Interview_Date]]=""),"",Table1[[#This Row],[Offer_Date]]-Table1[[#This Row],[Interview_Date]])</f>
        <v/>
      </c>
    </row>
    <row r="973" spans="1:22" x14ac:dyDescent="0.3">
      <c r="A973" t="s">
        <v>1028</v>
      </c>
      <c r="B973" t="s">
        <v>63</v>
      </c>
      <c r="C973" t="s">
        <v>94</v>
      </c>
      <c r="D973" t="s">
        <v>18</v>
      </c>
      <c r="E973">
        <v>38</v>
      </c>
      <c r="F973" t="s">
        <v>31</v>
      </c>
      <c r="G973" t="s">
        <v>27</v>
      </c>
      <c r="H973" t="s">
        <v>54</v>
      </c>
      <c r="I973" s="1">
        <v>44865</v>
      </c>
      <c r="J973" s="1">
        <v>44876</v>
      </c>
      <c r="L973">
        <v>4</v>
      </c>
      <c r="M973">
        <v>4</v>
      </c>
      <c r="N973" t="s">
        <v>22</v>
      </c>
      <c r="O973">
        <v>426745</v>
      </c>
      <c r="U973">
        <f>Table1[[#This Row],[Interview_Date]]-Table1[[#This Row],[Application_Date]]</f>
        <v>11</v>
      </c>
      <c r="V973" t="str">
        <f>IF(OR(Table1[[#This Row],[Offer_Date]]="",Table1[[#This Row],[Interview_Date]]=""),"",Table1[[#This Row],[Offer_Date]]-Table1[[#This Row],[Interview_Date]])</f>
        <v/>
      </c>
    </row>
    <row r="974" spans="1:22" x14ac:dyDescent="0.3">
      <c r="A974" t="s">
        <v>1029</v>
      </c>
      <c r="B974" t="s">
        <v>72</v>
      </c>
      <c r="C974" t="s">
        <v>43</v>
      </c>
      <c r="D974" t="s">
        <v>18</v>
      </c>
      <c r="E974">
        <v>45</v>
      </c>
      <c r="F974" t="s">
        <v>31</v>
      </c>
      <c r="G974" t="s">
        <v>60</v>
      </c>
      <c r="H974" t="s">
        <v>51</v>
      </c>
      <c r="I974" s="1">
        <v>45378</v>
      </c>
      <c r="J974" s="1">
        <v>45392</v>
      </c>
      <c r="K974" s="1">
        <v>45394</v>
      </c>
      <c r="L974">
        <v>2</v>
      </c>
      <c r="M974">
        <v>6</v>
      </c>
      <c r="N974" t="s">
        <v>22</v>
      </c>
      <c r="O974">
        <v>1109943</v>
      </c>
      <c r="U974">
        <f>Table1[[#This Row],[Interview_Date]]-Table1[[#This Row],[Application_Date]]</f>
        <v>14</v>
      </c>
      <c r="V974">
        <f>IF(OR(Table1[[#This Row],[Offer_Date]]="",Table1[[#This Row],[Interview_Date]]=""),"",Table1[[#This Row],[Offer_Date]]-Table1[[#This Row],[Interview_Date]])</f>
        <v>2</v>
      </c>
    </row>
    <row r="975" spans="1:22" x14ac:dyDescent="0.3">
      <c r="A975" t="s">
        <v>1030</v>
      </c>
      <c r="B975" t="s">
        <v>72</v>
      </c>
      <c r="C975" t="s">
        <v>69</v>
      </c>
      <c r="D975" t="s">
        <v>26</v>
      </c>
      <c r="E975">
        <v>35</v>
      </c>
      <c r="F975" t="s">
        <v>74</v>
      </c>
      <c r="G975" t="s">
        <v>35</v>
      </c>
      <c r="H975" t="s">
        <v>54</v>
      </c>
      <c r="I975" s="1">
        <v>44628</v>
      </c>
      <c r="J975" s="1">
        <v>44636</v>
      </c>
      <c r="L975">
        <v>2</v>
      </c>
      <c r="M975">
        <v>5</v>
      </c>
      <c r="N975" t="s">
        <v>48</v>
      </c>
      <c r="O975">
        <v>1001931</v>
      </c>
      <c r="U975">
        <f>Table1[[#This Row],[Interview_Date]]-Table1[[#This Row],[Application_Date]]</f>
        <v>8</v>
      </c>
      <c r="V975" t="str">
        <f>IF(OR(Table1[[#This Row],[Offer_Date]]="",Table1[[#This Row],[Interview_Date]]=""),"",Table1[[#This Row],[Offer_Date]]-Table1[[#This Row],[Interview_Date]])</f>
        <v/>
      </c>
    </row>
    <row r="976" spans="1:22" x14ac:dyDescent="0.3">
      <c r="A976" t="s">
        <v>1031</v>
      </c>
      <c r="B976" t="s">
        <v>16</v>
      </c>
      <c r="C976" t="s">
        <v>43</v>
      </c>
      <c r="D976" t="s">
        <v>26</v>
      </c>
      <c r="E976">
        <v>40</v>
      </c>
      <c r="F976" t="s">
        <v>74</v>
      </c>
      <c r="G976" t="s">
        <v>27</v>
      </c>
      <c r="H976" t="s">
        <v>51</v>
      </c>
      <c r="I976" s="1">
        <v>44412</v>
      </c>
      <c r="J976" s="1">
        <v>44419</v>
      </c>
      <c r="K976" s="1">
        <v>44426</v>
      </c>
      <c r="L976">
        <v>4</v>
      </c>
      <c r="M976">
        <v>7</v>
      </c>
      <c r="N976" t="s">
        <v>45</v>
      </c>
      <c r="O976">
        <v>377727</v>
      </c>
      <c r="U976">
        <f>Table1[[#This Row],[Interview_Date]]-Table1[[#This Row],[Application_Date]]</f>
        <v>7</v>
      </c>
      <c r="V976">
        <f>IF(OR(Table1[[#This Row],[Offer_Date]]="",Table1[[#This Row],[Interview_Date]]=""),"",Table1[[#This Row],[Offer_Date]]-Table1[[#This Row],[Interview_Date]])</f>
        <v>7</v>
      </c>
    </row>
    <row r="977" spans="1:22" x14ac:dyDescent="0.3">
      <c r="A977" t="s">
        <v>1032</v>
      </c>
      <c r="B977" t="s">
        <v>33</v>
      </c>
      <c r="C977" t="s">
        <v>94</v>
      </c>
      <c r="D977" t="s">
        <v>18</v>
      </c>
      <c r="E977">
        <v>37</v>
      </c>
      <c r="F977" t="s">
        <v>39</v>
      </c>
      <c r="G977" t="s">
        <v>35</v>
      </c>
      <c r="H977" t="s">
        <v>54</v>
      </c>
      <c r="I977" s="1">
        <v>44522</v>
      </c>
      <c r="J977" s="1">
        <v>44526</v>
      </c>
      <c r="L977">
        <v>1</v>
      </c>
      <c r="M977">
        <v>2</v>
      </c>
      <c r="N977" t="s">
        <v>22</v>
      </c>
      <c r="O977">
        <v>337908</v>
      </c>
      <c r="U977">
        <f>Table1[[#This Row],[Interview_Date]]-Table1[[#This Row],[Application_Date]]</f>
        <v>4</v>
      </c>
      <c r="V977" t="str">
        <f>IF(OR(Table1[[#This Row],[Offer_Date]]="",Table1[[#This Row],[Interview_Date]]=""),"",Table1[[#This Row],[Offer_Date]]-Table1[[#This Row],[Interview_Date]])</f>
        <v/>
      </c>
    </row>
    <row r="978" spans="1:22" x14ac:dyDescent="0.3">
      <c r="A978" t="s">
        <v>1033</v>
      </c>
      <c r="B978" t="s">
        <v>58</v>
      </c>
      <c r="C978" t="s">
        <v>59</v>
      </c>
      <c r="D978" t="s">
        <v>26</v>
      </c>
      <c r="E978">
        <v>36</v>
      </c>
      <c r="F978" t="s">
        <v>34</v>
      </c>
      <c r="G978" t="s">
        <v>44</v>
      </c>
      <c r="H978" t="s">
        <v>51</v>
      </c>
      <c r="I978" s="1">
        <v>45251</v>
      </c>
      <c r="J978" s="1">
        <v>45264</v>
      </c>
      <c r="K978" s="1">
        <v>45266</v>
      </c>
      <c r="L978">
        <v>4</v>
      </c>
      <c r="M978">
        <v>7</v>
      </c>
      <c r="N978" t="s">
        <v>45</v>
      </c>
      <c r="O978">
        <v>406161</v>
      </c>
      <c r="U978">
        <f>Table1[[#This Row],[Interview_Date]]-Table1[[#This Row],[Application_Date]]</f>
        <v>13</v>
      </c>
      <c r="V978">
        <f>IF(OR(Table1[[#This Row],[Offer_Date]]="",Table1[[#This Row],[Interview_Date]]=""),"",Table1[[#This Row],[Offer_Date]]-Table1[[#This Row],[Interview_Date]])</f>
        <v>2</v>
      </c>
    </row>
    <row r="979" spans="1:22" x14ac:dyDescent="0.3">
      <c r="A979" t="s">
        <v>1034</v>
      </c>
      <c r="B979" t="s">
        <v>24</v>
      </c>
      <c r="C979" t="s">
        <v>53</v>
      </c>
      <c r="D979" t="s">
        <v>26</v>
      </c>
      <c r="E979">
        <v>38</v>
      </c>
      <c r="F979" t="s">
        <v>34</v>
      </c>
      <c r="G979" t="s">
        <v>35</v>
      </c>
      <c r="H979" t="s">
        <v>51</v>
      </c>
      <c r="I979" s="1">
        <v>44844</v>
      </c>
      <c r="J979" s="1">
        <v>44851</v>
      </c>
      <c r="K979" s="1">
        <v>44854</v>
      </c>
      <c r="L979">
        <v>4</v>
      </c>
      <c r="M979">
        <v>9</v>
      </c>
      <c r="N979" t="s">
        <v>48</v>
      </c>
      <c r="O979">
        <v>642978</v>
      </c>
      <c r="U979">
        <f>Table1[[#This Row],[Interview_Date]]-Table1[[#This Row],[Application_Date]]</f>
        <v>7</v>
      </c>
      <c r="V979">
        <f>IF(OR(Table1[[#This Row],[Offer_Date]]="",Table1[[#This Row],[Interview_Date]]=""),"",Table1[[#This Row],[Offer_Date]]-Table1[[#This Row],[Interview_Date]])</f>
        <v>3</v>
      </c>
    </row>
    <row r="980" spans="1:22" x14ac:dyDescent="0.3">
      <c r="A980" t="s">
        <v>1035</v>
      </c>
      <c r="B980" t="s">
        <v>42</v>
      </c>
      <c r="C980" t="s">
        <v>69</v>
      </c>
      <c r="D980" t="s">
        <v>18</v>
      </c>
      <c r="E980">
        <v>37</v>
      </c>
      <c r="F980" t="s">
        <v>19</v>
      </c>
      <c r="G980" t="s">
        <v>44</v>
      </c>
      <c r="H980" t="s">
        <v>36</v>
      </c>
      <c r="I980" s="1">
        <v>44460</v>
      </c>
      <c r="J980" s="1">
        <v>44475</v>
      </c>
      <c r="K980" s="1">
        <v>44480</v>
      </c>
      <c r="L980">
        <v>3</v>
      </c>
      <c r="M980">
        <v>8</v>
      </c>
      <c r="N980" t="s">
        <v>45</v>
      </c>
      <c r="O980">
        <v>479605</v>
      </c>
      <c r="U980">
        <f>Table1[[#This Row],[Interview_Date]]-Table1[[#This Row],[Application_Date]]</f>
        <v>15</v>
      </c>
      <c r="V980">
        <f>IF(OR(Table1[[#This Row],[Offer_Date]]="",Table1[[#This Row],[Interview_Date]]=""),"",Table1[[#This Row],[Offer_Date]]-Table1[[#This Row],[Interview_Date]])</f>
        <v>5</v>
      </c>
    </row>
    <row r="981" spans="1:22" x14ac:dyDescent="0.3">
      <c r="A981" t="s">
        <v>1036</v>
      </c>
      <c r="B981" t="s">
        <v>65</v>
      </c>
      <c r="C981" t="s">
        <v>53</v>
      </c>
      <c r="D981" t="s">
        <v>26</v>
      </c>
      <c r="E981">
        <v>35</v>
      </c>
      <c r="F981" t="s">
        <v>56</v>
      </c>
      <c r="G981" t="s">
        <v>60</v>
      </c>
      <c r="H981" t="s">
        <v>54</v>
      </c>
      <c r="I981" s="1">
        <v>44864</v>
      </c>
      <c r="J981" s="1">
        <v>44869</v>
      </c>
      <c r="L981">
        <v>5</v>
      </c>
      <c r="M981">
        <v>6</v>
      </c>
      <c r="N981" t="s">
        <v>45</v>
      </c>
      <c r="O981">
        <v>809925</v>
      </c>
      <c r="U981">
        <f>Table1[[#This Row],[Interview_Date]]-Table1[[#This Row],[Application_Date]]</f>
        <v>5</v>
      </c>
      <c r="V981" t="str">
        <f>IF(OR(Table1[[#This Row],[Offer_Date]]="",Table1[[#This Row],[Interview_Date]]=""),"",Table1[[#This Row],[Offer_Date]]-Table1[[#This Row],[Interview_Date]])</f>
        <v/>
      </c>
    </row>
    <row r="982" spans="1:22" x14ac:dyDescent="0.3">
      <c r="A982" t="s">
        <v>1037</v>
      </c>
      <c r="B982" t="s">
        <v>42</v>
      </c>
      <c r="C982" t="s">
        <v>69</v>
      </c>
      <c r="D982" t="s">
        <v>18</v>
      </c>
      <c r="E982">
        <v>39</v>
      </c>
      <c r="F982" t="s">
        <v>56</v>
      </c>
      <c r="G982" t="s">
        <v>60</v>
      </c>
      <c r="H982" t="s">
        <v>36</v>
      </c>
      <c r="I982" s="1">
        <v>44246</v>
      </c>
      <c r="J982" s="1">
        <v>44249</v>
      </c>
      <c r="L982">
        <v>2</v>
      </c>
      <c r="M982">
        <v>10</v>
      </c>
      <c r="N982" t="s">
        <v>28</v>
      </c>
      <c r="O982">
        <v>870532</v>
      </c>
      <c r="U982">
        <f>Table1[[#This Row],[Interview_Date]]-Table1[[#This Row],[Application_Date]]</f>
        <v>3</v>
      </c>
      <c r="V982" t="str">
        <f>IF(OR(Table1[[#This Row],[Offer_Date]]="",Table1[[#This Row],[Interview_Date]]=""),"",Table1[[#This Row],[Offer_Date]]-Table1[[#This Row],[Interview_Date]])</f>
        <v/>
      </c>
    </row>
    <row r="983" spans="1:22" x14ac:dyDescent="0.3">
      <c r="A983" t="s">
        <v>1038</v>
      </c>
      <c r="B983" t="s">
        <v>38</v>
      </c>
      <c r="C983" t="s">
        <v>30</v>
      </c>
      <c r="D983" t="s">
        <v>18</v>
      </c>
      <c r="E983">
        <v>43</v>
      </c>
      <c r="F983" t="s">
        <v>34</v>
      </c>
      <c r="G983" t="s">
        <v>35</v>
      </c>
      <c r="H983" t="s">
        <v>54</v>
      </c>
      <c r="I983" s="1">
        <v>44374</v>
      </c>
      <c r="J983" s="1">
        <v>44383</v>
      </c>
      <c r="K983" s="1">
        <v>44390</v>
      </c>
      <c r="L983">
        <v>4</v>
      </c>
      <c r="M983">
        <v>10</v>
      </c>
      <c r="N983" t="s">
        <v>45</v>
      </c>
      <c r="O983">
        <v>644937</v>
      </c>
      <c r="U983">
        <f>Table1[[#This Row],[Interview_Date]]-Table1[[#This Row],[Application_Date]]</f>
        <v>9</v>
      </c>
      <c r="V983">
        <f>IF(OR(Table1[[#This Row],[Offer_Date]]="",Table1[[#This Row],[Interview_Date]]=""),"",Table1[[#This Row],[Offer_Date]]-Table1[[#This Row],[Interview_Date]])</f>
        <v>7</v>
      </c>
    </row>
    <row r="984" spans="1:22" x14ac:dyDescent="0.3">
      <c r="A984" t="s">
        <v>1039</v>
      </c>
      <c r="B984" t="s">
        <v>42</v>
      </c>
      <c r="C984" t="s">
        <v>30</v>
      </c>
      <c r="D984" t="s">
        <v>18</v>
      </c>
      <c r="E984">
        <v>22</v>
      </c>
      <c r="F984" t="s">
        <v>74</v>
      </c>
      <c r="G984" t="s">
        <v>27</v>
      </c>
      <c r="H984" t="s">
        <v>36</v>
      </c>
      <c r="I984" s="1">
        <v>45087</v>
      </c>
      <c r="J984" s="1">
        <v>45095</v>
      </c>
      <c r="K984" s="1">
        <v>45101</v>
      </c>
      <c r="L984">
        <v>5</v>
      </c>
      <c r="M984">
        <v>2</v>
      </c>
      <c r="N984" t="s">
        <v>48</v>
      </c>
      <c r="O984">
        <v>881714</v>
      </c>
      <c r="U984">
        <f>Table1[[#This Row],[Interview_Date]]-Table1[[#This Row],[Application_Date]]</f>
        <v>8</v>
      </c>
      <c r="V984">
        <f>IF(OR(Table1[[#This Row],[Offer_Date]]="",Table1[[#This Row],[Interview_Date]]=""),"",Table1[[#This Row],[Offer_Date]]-Table1[[#This Row],[Interview_Date]])</f>
        <v>6</v>
      </c>
    </row>
    <row r="985" spans="1:22" x14ac:dyDescent="0.3">
      <c r="A985" t="s">
        <v>1040</v>
      </c>
      <c r="B985" t="s">
        <v>33</v>
      </c>
      <c r="C985" t="s">
        <v>50</v>
      </c>
      <c r="D985" t="s">
        <v>26</v>
      </c>
      <c r="E985">
        <v>34</v>
      </c>
      <c r="F985" t="s">
        <v>34</v>
      </c>
      <c r="G985" t="s">
        <v>35</v>
      </c>
      <c r="H985" t="s">
        <v>54</v>
      </c>
      <c r="I985" s="1">
        <v>44252</v>
      </c>
      <c r="J985" s="1">
        <v>44265</v>
      </c>
      <c r="L985">
        <v>2</v>
      </c>
      <c r="M985">
        <v>8</v>
      </c>
      <c r="N985" t="s">
        <v>28</v>
      </c>
      <c r="O985">
        <v>754696</v>
      </c>
      <c r="U985">
        <f>Table1[[#This Row],[Interview_Date]]-Table1[[#This Row],[Application_Date]]</f>
        <v>13</v>
      </c>
      <c r="V985" t="str">
        <f>IF(OR(Table1[[#This Row],[Offer_Date]]="",Table1[[#This Row],[Interview_Date]]=""),"",Table1[[#This Row],[Offer_Date]]-Table1[[#This Row],[Interview_Date]])</f>
        <v/>
      </c>
    </row>
    <row r="986" spans="1:22" x14ac:dyDescent="0.3">
      <c r="A986" t="s">
        <v>1041</v>
      </c>
      <c r="B986" t="s">
        <v>42</v>
      </c>
      <c r="C986" t="s">
        <v>69</v>
      </c>
      <c r="D986" t="s">
        <v>18</v>
      </c>
      <c r="E986">
        <v>32</v>
      </c>
      <c r="F986" t="s">
        <v>34</v>
      </c>
      <c r="G986" t="s">
        <v>44</v>
      </c>
      <c r="H986" t="s">
        <v>40</v>
      </c>
      <c r="I986" s="1">
        <v>44413</v>
      </c>
      <c r="J986" s="1">
        <v>44422</v>
      </c>
      <c r="K986" s="1">
        <v>44429</v>
      </c>
      <c r="L986">
        <v>1</v>
      </c>
      <c r="M986">
        <v>6</v>
      </c>
      <c r="N986" t="s">
        <v>28</v>
      </c>
      <c r="O986">
        <v>737700</v>
      </c>
      <c r="U986">
        <f>Table1[[#This Row],[Interview_Date]]-Table1[[#This Row],[Application_Date]]</f>
        <v>9</v>
      </c>
      <c r="V986">
        <f>IF(OR(Table1[[#This Row],[Offer_Date]]="",Table1[[#This Row],[Interview_Date]]=""),"",Table1[[#This Row],[Offer_Date]]-Table1[[#This Row],[Interview_Date]])</f>
        <v>7</v>
      </c>
    </row>
    <row r="987" spans="1:22" x14ac:dyDescent="0.3">
      <c r="A987" t="s">
        <v>1042</v>
      </c>
      <c r="B987" t="s">
        <v>58</v>
      </c>
      <c r="C987" t="s">
        <v>17</v>
      </c>
      <c r="D987" t="s">
        <v>26</v>
      </c>
      <c r="E987">
        <v>37</v>
      </c>
      <c r="F987" t="s">
        <v>39</v>
      </c>
      <c r="G987" t="s">
        <v>20</v>
      </c>
      <c r="H987" t="s">
        <v>36</v>
      </c>
      <c r="I987" s="1">
        <v>44384</v>
      </c>
      <c r="J987" s="1">
        <v>44390</v>
      </c>
      <c r="K987" s="1">
        <v>44394</v>
      </c>
      <c r="L987">
        <v>5</v>
      </c>
      <c r="M987">
        <v>3</v>
      </c>
      <c r="N987" t="s">
        <v>22</v>
      </c>
      <c r="O987">
        <v>375510</v>
      </c>
      <c r="U987">
        <f>Table1[[#This Row],[Interview_Date]]-Table1[[#This Row],[Application_Date]]</f>
        <v>6</v>
      </c>
      <c r="V987">
        <f>IF(OR(Table1[[#This Row],[Offer_Date]]="",Table1[[#This Row],[Interview_Date]]=""),"",Table1[[#This Row],[Offer_Date]]-Table1[[#This Row],[Interview_Date]])</f>
        <v>4</v>
      </c>
    </row>
    <row r="988" spans="1:22" x14ac:dyDescent="0.3">
      <c r="A988" t="s">
        <v>1043</v>
      </c>
      <c r="B988" t="s">
        <v>47</v>
      </c>
      <c r="C988" t="s">
        <v>94</v>
      </c>
      <c r="D988" t="s">
        <v>18</v>
      </c>
      <c r="E988">
        <v>34</v>
      </c>
      <c r="F988" t="s">
        <v>56</v>
      </c>
      <c r="G988" t="s">
        <v>20</v>
      </c>
      <c r="H988" t="s">
        <v>36</v>
      </c>
      <c r="I988" s="1">
        <v>44577</v>
      </c>
      <c r="J988" s="1">
        <v>44582</v>
      </c>
      <c r="K988" s="1">
        <v>44586</v>
      </c>
      <c r="L988">
        <v>4</v>
      </c>
      <c r="M988">
        <v>7</v>
      </c>
      <c r="N988" t="s">
        <v>45</v>
      </c>
      <c r="O988">
        <v>1097345</v>
      </c>
      <c r="U988">
        <f>Table1[[#This Row],[Interview_Date]]-Table1[[#This Row],[Application_Date]]</f>
        <v>5</v>
      </c>
      <c r="V988">
        <f>IF(OR(Table1[[#This Row],[Offer_Date]]="",Table1[[#This Row],[Interview_Date]]=""),"",Table1[[#This Row],[Offer_Date]]-Table1[[#This Row],[Interview_Date]])</f>
        <v>4</v>
      </c>
    </row>
    <row r="989" spans="1:22" x14ac:dyDescent="0.3">
      <c r="A989" t="s">
        <v>1044</v>
      </c>
      <c r="B989" t="s">
        <v>63</v>
      </c>
      <c r="C989" t="s">
        <v>50</v>
      </c>
      <c r="D989" t="s">
        <v>18</v>
      </c>
      <c r="E989">
        <v>36</v>
      </c>
      <c r="F989" t="s">
        <v>56</v>
      </c>
      <c r="G989" t="s">
        <v>60</v>
      </c>
      <c r="H989" t="s">
        <v>36</v>
      </c>
      <c r="I989" s="1">
        <v>44314</v>
      </c>
      <c r="J989" s="1">
        <v>44323</v>
      </c>
      <c r="K989" s="1">
        <v>44325</v>
      </c>
      <c r="L989">
        <v>2</v>
      </c>
      <c r="M989">
        <v>2</v>
      </c>
      <c r="N989" t="s">
        <v>45</v>
      </c>
      <c r="O989">
        <v>531253</v>
      </c>
      <c r="U989">
        <f>Table1[[#This Row],[Interview_Date]]-Table1[[#This Row],[Application_Date]]</f>
        <v>9</v>
      </c>
      <c r="V989">
        <f>IF(OR(Table1[[#This Row],[Offer_Date]]="",Table1[[#This Row],[Interview_Date]]=""),"",Table1[[#This Row],[Offer_Date]]-Table1[[#This Row],[Interview_Date]])</f>
        <v>2</v>
      </c>
    </row>
    <row r="990" spans="1:22" x14ac:dyDescent="0.3">
      <c r="A990" t="s">
        <v>1045</v>
      </c>
      <c r="B990" t="s">
        <v>33</v>
      </c>
      <c r="C990" t="s">
        <v>17</v>
      </c>
      <c r="D990" t="s">
        <v>18</v>
      </c>
      <c r="E990">
        <v>36</v>
      </c>
      <c r="F990" t="s">
        <v>56</v>
      </c>
      <c r="G990" t="s">
        <v>27</v>
      </c>
      <c r="H990" t="s">
        <v>54</v>
      </c>
      <c r="I990" s="1">
        <v>44507</v>
      </c>
      <c r="J990" s="1">
        <v>44511</v>
      </c>
      <c r="L990">
        <v>5</v>
      </c>
      <c r="M990">
        <v>3</v>
      </c>
      <c r="N990" t="s">
        <v>22</v>
      </c>
      <c r="O990">
        <v>702007</v>
      </c>
      <c r="U990">
        <f>Table1[[#This Row],[Interview_Date]]-Table1[[#This Row],[Application_Date]]</f>
        <v>4</v>
      </c>
      <c r="V990" t="str">
        <f>IF(OR(Table1[[#This Row],[Offer_Date]]="",Table1[[#This Row],[Interview_Date]]=""),"",Table1[[#This Row],[Offer_Date]]-Table1[[#This Row],[Interview_Date]])</f>
        <v/>
      </c>
    </row>
    <row r="991" spans="1:22" x14ac:dyDescent="0.3">
      <c r="A991" t="s">
        <v>1046</v>
      </c>
      <c r="B991" t="s">
        <v>65</v>
      </c>
      <c r="C991" t="s">
        <v>53</v>
      </c>
      <c r="D991" t="s">
        <v>18</v>
      </c>
      <c r="E991">
        <v>28</v>
      </c>
      <c r="F991" t="s">
        <v>19</v>
      </c>
      <c r="G991" t="s">
        <v>60</v>
      </c>
      <c r="H991" t="s">
        <v>21</v>
      </c>
      <c r="I991" s="1">
        <v>44270</v>
      </c>
      <c r="J991" s="1">
        <v>44281</v>
      </c>
      <c r="K991" s="1">
        <v>44285</v>
      </c>
      <c r="L991">
        <v>1</v>
      </c>
      <c r="M991">
        <v>4</v>
      </c>
      <c r="N991" t="s">
        <v>22</v>
      </c>
      <c r="O991">
        <v>992800</v>
      </c>
      <c r="U991">
        <f>Table1[[#This Row],[Interview_Date]]-Table1[[#This Row],[Application_Date]]</f>
        <v>11</v>
      </c>
      <c r="V991">
        <f>IF(OR(Table1[[#This Row],[Offer_Date]]="",Table1[[#This Row],[Interview_Date]]=""),"",Table1[[#This Row],[Offer_Date]]-Table1[[#This Row],[Interview_Date]])</f>
        <v>4</v>
      </c>
    </row>
    <row r="992" spans="1:22" x14ac:dyDescent="0.3">
      <c r="A992" t="s">
        <v>1047</v>
      </c>
      <c r="B992" t="s">
        <v>72</v>
      </c>
      <c r="C992" t="s">
        <v>69</v>
      </c>
      <c r="D992" t="s">
        <v>18</v>
      </c>
      <c r="E992">
        <v>31</v>
      </c>
      <c r="F992" t="s">
        <v>34</v>
      </c>
      <c r="G992" t="s">
        <v>44</v>
      </c>
      <c r="H992" t="s">
        <v>36</v>
      </c>
      <c r="I992" s="1">
        <v>44771</v>
      </c>
      <c r="J992" s="1">
        <v>44785</v>
      </c>
      <c r="L992">
        <v>4</v>
      </c>
      <c r="M992">
        <v>7</v>
      </c>
      <c r="N992" t="s">
        <v>45</v>
      </c>
      <c r="O992">
        <v>638836</v>
      </c>
      <c r="U992">
        <f>Table1[[#This Row],[Interview_Date]]-Table1[[#This Row],[Application_Date]]</f>
        <v>14</v>
      </c>
      <c r="V992" t="str">
        <f>IF(OR(Table1[[#This Row],[Offer_Date]]="",Table1[[#This Row],[Interview_Date]]=""),"",Table1[[#This Row],[Offer_Date]]-Table1[[#This Row],[Interview_Date]])</f>
        <v/>
      </c>
    </row>
    <row r="993" spans="1:22" x14ac:dyDescent="0.3">
      <c r="A993" t="s">
        <v>1048</v>
      </c>
      <c r="B993" t="s">
        <v>33</v>
      </c>
      <c r="C993" t="s">
        <v>94</v>
      </c>
      <c r="D993" t="s">
        <v>18</v>
      </c>
      <c r="E993">
        <v>27</v>
      </c>
      <c r="F993" t="s">
        <v>34</v>
      </c>
      <c r="G993" t="s">
        <v>27</v>
      </c>
      <c r="H993" t="s">
        <v>54</v>
      </c>
      <c r="I993" s="1">
        <v>45036</v>
      </c>
      <c r="J993" s="1">
        <v>45047</v>
      </c>
      <c r="K993" s="1">
        <v>45050</v>
      </c>
      <c r="L993">
        <v>3</v>
      </c>
      <c r="M993">
        <v>6</v>
      </c>
      <c r="N993" t="s">
        <v>45</v>
      </c>
      <c r="O993">
        <v>325099</v>
      </c>
      <c r="U993">
        <f>Table1[[#This Row],[Interview_Date]]-Table1[[#This Row],[Application_Date]]</f>
        <v>11</v>
      </c>
      <c r="V993">
        <f>IF(OR(Table1[[#This Row],[Offer_Date]]="",Table1[[#This Row],[Interview_Date]]=""),"",Table1[[#This Row],[Offer_Date]]-Table1[[#This Row],[Interview_Date]])</f>
        <v>3</v>
      </c>
    </row>
    <row r="994" spans="1:22" x14ac:dyDescent="0.3">
      <c r="A994" t="s">
        <v>1049</v>
      </c>
      <c r="B994" t="s">
        <v>47</v>
      </c>
      <c r="C994" t="s">
        <v>50</v>
      </c>
      <c r="D994" t="s">
        <v>26</v>
      </c>
      <c r="E994">
        <v>34</v>
      </c>
      <c r="F994" t="s">
        <v>74</v>
      </c>
      <c r="G994" t="s">
        <v>60</v>
      </c>
      <c r="H994" t="s">
        <v>21</v>
      </c>
      <c r="I994" s="1">
        <v>45309</v>
      </c>
      <c r="J994" s="1">
        <v>45319</v>
      </c>
      <c r="L994">
        <v>2</v>
      </c>
      <c r="M994">
        <v>3</v>
      </c>
      <c r="N994" t="s">
        <v>45</v>
      </c>
      <c r="O994">
        <v>374740</v>
      </c>
      <c r="U994">
        <f>Table1[[#This Row],[Interview_Date]]-Table1[[#This Row],[Application_Date]]</f>
        <v>10</v>
      </c>
      <c r="V994" t="str">
        <f>IF(OR(Table1[[#This Row],[Offer_Date]]="",Table1[[#This Row],[Interview_Date]]=""),"",Table1[[#This Row],[Offer_Date]]-Table1[[#This Row],[Interview_Date]])</f>
        <v/>
      </c>
    </row>
    <row r="995" spans="1:22" x14ac:dyDescent="0.3">
      <c r="A995" t="s">
        <v>1050</v>
      </c>
      <c r="B995" t="s">
        <v>65</v>
      </c>
      <c r="C995" t="s">
        <v>30</v>
      </c>
      <c r="D995" t="s">
        <v>26</v>
      </c>
      <c r="E995">
        <v>22</v>
      </c>
      <c r="F995" t="s">
        <v>74</v>
      </c>
      <c r="G995" t="s">
        <v>27</v>
      </c>
      <c r="H995" t="s">
        <v>36</v>
      </c>
      <c r="I995" s="1">
        <v>45153</v>
      </c>
      <c r="J995" s="1">
        <v>45160</v>
      </c>
      <c r="K995" s="1">
        <v>45167</v>
      </c>
      <c r="L995">
        <v>3</v>
      </c>
      <c r="M995">
        <v>2</v>
      </c>
      <c r="N995" t="s">
        <v>22</v>
      </c>
      <c r="O995">
        <v>769267</v>
      </c>
      <c r="U995">
        <f>Table1[[#This Row],[Interview_Date]]-Table1[[#This Row],[Application_Date]]</f>
        <v>7</v>
      </c>
      <c r="V995">
        <f>IF(OR(Table1[[#This Row],[Offer_Date]]="",Table1[[#This Row],[Interview_Date]]=""),"",Table1[[#This Row],[Offer_Date]]-Table1[[#This Row],[Interview_Date]])</f>
        <v>7</v>
      </c>
    </row>
    <row r="996" spans="1:22" x14ac:dyDescent="0.3">
      <c r="A996" t="s">
        <v>1051</v>
      </c>
      <c r="B996" t="s">
        <v>63</v>
      </c>
      <c r="C996" t="s">
        <v>59</v>
      </c>
      <c r="D996" t="s">
        <v>18</v>
      </c>
      <c r="E996">
        <v>26</v>
      </c>
      <c r="F996" t="s">
        <v>31</v>
      </c>
      <c r="G996" t="s">
        <v>20</v>
      </c>
      <c r="H996" t="s">
        <v>21</v>
      </c>
      <c r="I996" s="1">
        <v>44381</v>
      </c>
      <c r="J996" s="1">
        <v>44392</v>
      </c>
      <c r="K996" s="1">
        <v>44394</v>
      </c>
      <c r="L996">
        <v>1</v>
      </c>
      <c r="M996">
        <v>2</v>
      </c>
      <c r="N996" t="s">
        <v>48</v>
      </c>
      <c r="O996">
        <v>712514</v>
      </c>
      <c r="U996">
        <f>Table1[[#This Row],[Interview_Date]]-Table1[[#This Row],[Application_Date]]</f>
        <v>11</v>
      </c>
      <c r="V996">
        <f>IF(OR(Table1[[#This Row],[Offer_Date]]="",Table1[[#This Row],[Interview_Date]]=""),"",Table1[[#This Row],[Offer_Date]]-Table1[[#This Row],[Interview_Date]])</f>
        <v>2</v>
      </c>
    </row>
    <row r="997" spans="1:22" x14ac:dyDescent="0.3">
      <c r="A997" t="s">
        <v>1052</v>
      </c>
      <c r="B997" t="s">
        <v>47</v>
      </c>
      <c r="C997" t="s">
        <v>53</v>
      </c>
      <c r="D997" t="s">
        <v>26</v>
      </c>
      <c r="E997">
        <v>41</v>
      </c>
      <c r="F997" t="s">
        <v>74</v>
      </c>
      <c r="G997" t="s">
        <v>27</v>
      </c>
      <c r="H997" t="s">
        <v>51</v>
      </c>
      <c r="I997" s="1">
        <v>44864</v>
      </c>
      <c r="J997" s="1">
        <v>44867</v>
      </c>
      <c r="L997">
        <v>5</v>
      </c>
      <c r="M997">
        <v>3</v>
      </c>
      <c r="N997" t="s">
        <v>22</v>
      </c>
      <c r="O997">
        <v>377612</v>
      </c>
      <c r="U997">
        <f>Table1[[#This Row],[Interview_Date]]-Table1[[#This Row],[Application_Date]]</f>
        <v>3</v>
      </c>
      <c r="V997" t="str">
        <f>IF(OR(Table1[[#This Row],[Offer_Date]]="",Table1[[#This Row],[Interview_Date]]=""),"",Table1[[#This Row],[Offer_Date]]-Table1[[#This Row],[Interview_Date]])</f>
        <v/>
      </c>
    </row>
    <row r="998" spans="1:22" x14ac:dyDescent="0.3">
      <c r="A998" t="s">
        <v>1053</v>
      </c>
      <c r="B998" t="s">
        <v>72</v>
      </c>
      <c r="C998" t="s">
        <v>30</v>
      </c>
      <c r="D998" t="s">
        <v>26</v>
      </c>
      <c r="E998">
        <v>42</v>
      </c>
      <c r="F998" t="s">
        <v>74</v>
      </c>
      <c r="G998" t="s">
        <v>35</v>
      </c>
      <c r="H998" t="s">
        <v>40</v>
      </c>
      <c r="I998" s="1">
        <v>45318</v>
      </c>
      <c r="J998" s="1">
        <v>45327</v>
      </c>
      <c r="L998">
        <v>5</v>
      </c>
      <c r="M998">
        <v>8</v>
      </c>
      <c r="N998" t="s">
        <v>22</v>
      </c>
      <c r="O998">
        <v>768274</v>
      </c>
      <c r="U998">
        <f>Table1[[#This Row],[Interview_Date]]-Table1[[#This Row],[Application_Date]]</f>
        <v>9</v>
      </c>
      <c r="V998" t="str">
        <f>IF(OR(Table1[[#This Row],[Offer_Date]]="",Table1[[#This Row],[Interview_Date]]=""),"",Table1[[#This Row],[Offer_Date]]-Table1[[#This Row],[Interview_Date]])</f>
        <v/>
      </c>
    </row>
    <row r="999" spans="1:22" x14ac:dyDescent="0.3">
      <c r="A999" t="s">
        <v>1054</v>
      </c>
      <c r="B999" t="s">
        <v>72</v>
      </c>
      <c r="C999" t="s">
        <v>59</v>
      </c>
      <c r="D999" t="s">
        <v>26</v>
      </c>
      <c r="E999">
        <v>43</v>
      </c>
      <c r="F999" t="s">
        <v>34</v>
      </c>
      <c r="G999" t="s">
        <v>60</v>
      </c>
      <c r="H999" t="s">
        <v>40</v>
      </c>
      <c r="I999" s="1">
        <v>44326</v>
      </c>
      <c r="J999" s="1">
        <v>44337</v>
      </c>
      <c r="K999" s="1">
        <v>44343</v>
      </c>
      <c r="L999">
        <v>1</v>
      </c>
      <c r="M999">
        <v>9</v>
      </c>
      <c r="N999" t="s">
        <v>48</v>
      </c>
      <c r="O999">
        <v>437771</v>
      </c>
      <c r="U999">
        <f>Table1[[#This Row],[Interview_Date]]-Table1[[#This Row],[Application_Date]]</f>
        <v>11</v>
      </c>
      <c r="V999">
        <f>IF(OR(Table1[[#This Row],[Offer_Date]]="",Table1[[#This Row],[Interview_Date]]=""),"",Table1[[#This Row],[Offer_Date]]-Table1[[#This Row],[Interview_Date]])</f>
        <v>6</v>
      </c>
    </row>
    <row r="1000" spans="1:22" x14ac:dyDescent="0.3">
      <c r="A1000" t="s">
        <v>1055</v>
      </c>
      <c r="B1000" t="s">
        <v>42</v>
      </c>
      <c r="C1000" t="s">
        <v>43</v>
      </c>
      <c r="D1000" t="s">
        <v>18</v>
      </c>
      <c r="E1000">
        <v>27</v>
      </c>
      <c r="F1000" t="s">
        <v>34</v>
      </c>
      <c r="G1000" t="s">
        <v>20</v>
      </c>
      <c r="H1000" t="s">
        <v>21</v>
      </c>
      <c r="I1000" s="1">
        <v>45077</v>
      </c>
      <c r="J1000" s="1">
        <v>45089</v>
      </c>
      <c r="L1000">
        <v>4</v>
      </c>
      <c r="M1000">
        <v>8</v>
      </c>
      <c r="N1000" t="s">
        <v>22</v>
      </c>
      <c r="O1000">
        <v>715641</v>
      </c>
      <c r="U1000">
        <f>Table1[[#This Row],[Interview_Date]]-Table1[[#This Row],[Application_Date]]</f>
        <v>12</v>
      </c>
      <c r="V1000" t="str">
        <f>IF(OR(Table1[[#This Row],[Offer_Date]]="",Table1[[#This Row],[Interview_Date]]=""),"",Table1[[#This Row],[Offer_Date]]-Table1[[#This Row],[Interview_Date]])</f>
        <v/>
      </c>
    </row>
    <row r="1001" spans="1:22" x14ac:dyDescent="0.3">
      <c r="A1001" t="s">
        <v>1056</v>
      </c>
      <c r="B1001" t="s">
        <v>42</v>
      </c>
      <c r="C1001" t="s">
        <v>25</v>
      </c>
      <c r="D1001" t="s">
        <v>18</v>
      </c>
      <c r="E1001">
        <v>27</v>
      </c>
      <c r="F1001" t="s">
        <v>74</v>
      </c>
      <c r="G1001" t="s">
        <v>60</v>
      </c>
      <c r="H1001" t="s">
        <v>21</v>
      </c>
      <c r="I1001" s="1">
        <v>44526</v>
      </c>
      <c r="J1001" s="1">
        <v>44535</v>
      </c>
      <c r="K1001" s="1">
        <v>44539</v>
      </c>
      <c r="L1001">
        <v>3</v>
      </c>
      <c r="M1001">
        <v>4</v>
      </c>
      <c r="N1001" t="s">
        <v>28</v>
      </c>
      <c r="O1001">
        <v>960972</v>
      </c>
      <c r="U1001">
        <f>Table1[[#This Row],[Interview_Date]]-Table1[[#This Row],[Application_Date]]</f>
        <v>9</v>
      </c>
      <c r="V1001">
        <f>IF(OR(Table1[[#This Row],[Offer_Date]]="",Table1[[#This Row],[Interview_Date]]=""),"",Table1[[#This Row],[Offer_Date]]-Table1[[#This Row],[Interview_Date]])</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D774-E5F6-4A96-9889-84AD3DA1607F}">
  <dimension ref="A1:D1001"/>
  <sheetViews>
    <sheetView workbookViewId="0">
      <selection activeCell="D16" sqref="D16"/>
    </sheetView>
  </sheetViews>
  <sheetFormatPr defaultRowHeight="14.4" x14ac:dyDescent="0.3"/>
  <cols>
    <col min="1" max="1" width="16.44140625" bestFit="1" customWidth="1"/>
    <col min="2" max="2" width="13.109375" bestFit="1" customWidth="1"/>
    <col min="3" max="3" width="21" bestFit="1" customWidth="1"/>
    <col min="4" max="4" width="17.77734375" bestFit="1" customWidth="1"/>
  </cols>
  <sheetData>
    <row r="1" spans="1:4" x14ac:dyDescent="0.3">
      <c r="A1" t="s">
        <v>1066</v>
      </c>
      <c r="B1" t="s">
        <v>1067</v>
      </c>
      <c r="C1" t="s">
        <v>1076</v>
      </c>
      <c r="D1" t="s">
        <v>1068</v>
      </c>
    </row>
    <row r="2" spans="1:4" x14ac:dyDescent="0.3">
      <c r="A2">
        <f>Table1[[#This Row],[Interview_Date]]-Table1[[#This Row],[Application_Date]]</f>
        <v>14</v>
      </c>
      <c r="B2">
        <f>IF(OR(Table1[[#This Row],[Offer_Date]]="",Table1[[#This Row],[Interview_Date]]=""),"",Table1[[#This Row],[Offer_Date]]-Table1[[#This Row],[Interview_Date]])</f>
        <v>7</v>
      </c>
      <c r="C2">
        <f>AVERAGE(A2:A1001)</f>
        <v>9.0060000000000002</v>
      </c>
      <c r="D2" s="4">
        <f>AVERAGE(B2:B1001)</f>
        <v>4.5894941634241242</v>
      </c>
    </row>
    <row r="3" spans="1:4" x14ac:dyDescent="0.3">
      <c r="A3">
        <f>Table1[[#This Row],[Interview_Date]]-Table1[[#This Row],[Application_Date]]</f>
        <v>10</v>
      </c>
      <c r="B3" t="str">
        <f>IF(OR(Table1[[#This Row],[Offer_Date]]="",Table1[[#This Row],[Interview_Date]]=""),"",Table1[[#This Row],[Offer_Date]]-Table1[[#This Row],[Interview_Date]])</f>
        <v/>
      </c>
    </row>
    <row r="4" spans="1:4" x14ac:dyDescent="0.3">
      <c r="A4">
        <f>Table1[[#This Row],[Interview_Date]]-Table1[[#This Row],[Application_Date]]</f>
        <v>11</v>
      </c>
      <c r="B4" t="str">
        <f>IF(OR(Table1[[#This Row],[Offer_Date]]="",Table1[[#This Row],[Interview_Date]]=""),"",Table1[[#This Row],[Offer_Date]]-Table1[[#This Row],[Interview_Date]])</f>
        <v/>
      </c>
    </row>
    <row r="5" spans="1:4" x14ac:dyDescent="0.3">
      <c r="A5">
        <f>Table1[[#This Row],[Interview_Date]]-Table1[[#This Row],[Application_Date]]</f>
        <v>10</v>
      </c>
      <c r="B5" t="str">
        <f>IF(OR(Table1[[#This Row],[Offer_Date]]="",Table1[[#This Row],[Interview_Date]]=""),"",Table1[[#This Row],[Offer_Date]]-Table1[[#This Row],[Interview_Date]])</f>
        <v/>
      </c>
    </row>
    <row r="6" spans="1:4" x14ac:dyDescent="0.3">
      <c r="A6">
        <f>Table1[[#This Row],[Interview_Date]]-Table1[[#This Row],[Application_Date]]</f>
        <v>11</v>
      </c>
      <c r="B6">
        <f>IF(OR(Table1[[#This Row],[Offer_Date]]="",Table1[[#This Row],[Interview_Date]]=""),"",Table1[[#This Row],[Offer_Date]]-Table1[[#This Row],[Interview_Date]])</f>
        <v>6</v>
      </c>
    </row>
    <row r="7" spans="1:4" x14ac:dyDescent="0.3">
      <c r="A7">
        <f>Table1[[#This Row],[Interview_Date]]-Table1[[#This Row],[Application_Date]]</f>
        <v>5</v>
      </c>
      <c r="B7">
        <f>IF(OR(Table1[[#This Row],[Offer_Date]]="",Table1[[#This Row],[Interview_Date]]=""),"",Table1[[#This Row],[Offer_Date]]-Table1[[#This Row],[Interview_Date]])</f>
        <v>7</v>
      </c>
    </row>
    <row r="8" spans="1:4" x14ac:dyDescent="0.3">
      <c r="A8">
        <f>Table1[[#This Row],[Interview_Date]]-Table1[[#This Row],[Application_Date]]</f>
        <v>7</v>
      </c>
      <c r="B8" t="str">
        <f>IF(OR(Table1[[#This Row],[Offer_Date]]="",Table1[[#This Row],[Interview_Date]]=""),"",Table1[[#This Row],[Offer_Date]]-Table1[[#This Row],[Interview_Date]])</f>
        <v/>
      </c>
    </row>
    <row r="9" spans="1:4" x14ac:dyDescent="0.3">
      <c r="A9">
        <f>Table1[[#This Row],[Interview_Date]]-Table1[[#This Row],[Application_Date]]</f>
        <v>8</v>
      </c>
      <c r="B9">
        <f>IF(OR(Table1[[#This Row],[Offer_Date]]="",Table1[[#This Row],[Interview_Date]]=""),"",Table1[[#This Row],[Offer_Date]]-Table1[[#This Row],[Interview_Date]])</f>
        <v>4</v>
      </c>
    </row>
    <row r="10" spans="1:4" x14ac:dyDescent="0.3">
      <c r="A10">
        <f>Table1[[#This Row],[Interview_Date]]-Table1[[#This Row],[Application_Date]]</f>
        <v>15</v>
      </c>
      <c r="B10" t="str">
        <f>IF(OR(Table1[[#This Row],[Offer_Date]]="",Table1[[#This Row],[Interview_Date]]=""),"",Table1[[#This Row],[Offer_Date]]-Table1[[#This Row],[Interview_Date]])</f>
        <v/>
      </c>
    </row>
    <row r="11" spans="1:4" x14ac:dyDescent="0.3">
      <c r="A11">
        <f>Table1[[#This Row],[Interview_Date]]-Table1[[#This Row],[Application_Date]]</f>
        <v>13</v>
      </c>
      <c r="B11" t="str">
        <f>IF(OR(Table1[[#This Row],[Offer_Date]]="",Table1[[#This Row],[Interview_Date]]=""),"",Table1[[#This Row],[Offer_Date]]-Table1[[#This Row],[Interview_Date]])</f>
        <v/>
      </c>
    </row>
    <row r="12" spans="1:4" x14ac:dyDescent="0.3">
      <c r="A12">
        <f>Table1[[#This Row],[Interview_Date]]-Table1[[#This Row],[Application_Date]]</f>
        <v>14</v>
      </c>
      <c r="B12">
        <f>IF(OR(Table1[[#This Row],[Offer_Date]]="",Table1[[#This Row],[Interview_Date]]=""),"",Table1[[#This Row],[Offer_Date]]-Table1[[#This Row],[Interview_Date]])</f>
        <v>6</v>
      </c>
    </row>
    <row r="13" spans="1:4" x14ac:dyDescent="0.3">
      <c r="A13">
        <f>Table1[[#This Row],[Interview_Date]]-Table1[[#This Row],[Application_Date]]</f>
        <v>6</v>
      </c>
      <c r="B13" t="str">
        <f>IF(OR(Table1[[#This Row],[Offer_Date]]="",Table1[[#This Row],[Interview_Date]]=""),"",Table1[[#This Row],[Offer_Date]]-Table1[[#This Row],[Interview_Date]])</f>
        <v/>
      </c>
    </row>
    <row r="14" spans="1:4" x14ac:dyDescent="0.3">
      <c r="A14">
        <f>Table1[[#This Row],[Interview_Date]]-Table1[[#This Row],[Application_Date]]</f>
        <v>4</v>
      </c>
      <c r="B14">
        <f>IF(OR(Table1[[#This Row],[Offer_Date]]="",Table1[[#This Row],[Interview_Date]]=""),"",Table1[[#This Row],[Offer_Date]]-Table1[[#This Row],[Interview_Date]])</f>
        <v>2</v>
      </c>
    </row>
    <row r="15" spans="1:4" x14ac:dyDescent="0.3">
      <c r="A15">
        <f>Table1[[#This Row],[Interview_Date]]-Table1[[#This Row],[Application_Date]]</f>
        <v>6</v>
      </c>
      <c r="B15" t="str">
        <f>IF(OR(Table1[[#This Row],[Offer_Date]]="",Table1[[#This Row],[Interview_Date]]=""),"",Table1[[#This Row],[Offer_Date]]-Table1[[#This Row],[Interview_Date]])</f>
        <v/>
      </c>
    </row>
    <row r="16" spans="1:4" x14ac:dyDescent="0.3">
      <c r="A16">
        <f>Table1[[#This Row],[Interview_Date]]-Table1[[#This Row],[Application_Date]]</f>
        <v>6</v>
      </c>
      <c r="B16">
        <f>IF(OR(Table1[[#This Row],[Offer_Date]]="",Table1[[#This Row],[Interview_Date]]=""),"",Table1[[#This Row],[Offer_Date]]-Table1[[#This Row],[Interview_Date]])</f>
        <v>2</v>
      </c>
    </row>
    <row r="17" spans="1:2" x14ac:dyDescent="0.3">
      <c r="A17">
        <f>Table1[[#This Row],[Interview_Date]]-Table1[[#This Row],[Application_Date]]</f>
        <v>5</v>
      </c>
      <c r="B17">
        <f>IF(OR(Table1[[#This Row],[Offer_Date]]="",Table1[[#This Row],[Interview_Date]]=""),"",Table1[[#This Row],[Offer_Date]]-Table1[[#This Row],[Interview_Date]])</f>
        <v>5</v>
      </c>
    </row>
    <row r="18" spans="1:2" x14ac:dyDescent="0.3">
      <c r="A18">
        <f>Table1[[#This Row],[Interview_Date]]-Table1[[#This Row],[Application_Date]]</f>
        <v>8</v>
      </c>
      <c r="B18">
        <f>IF(OR(Table1[[#This Row],[Offer_Date]]="",Table1[[#This Row],[Interview_Date]]=""),"",Table1[[#This Row],[Offer_Date]]-Table1[[#This Row],[Interview_Date]])</f>
        <v>4</v>
      </c>
    </row>
    <row r="19" spans="1:2" x14ac:dyDescent="0.3">
      <c r="A19">
        <f>Table1[[#This Row],[Interview_Date]]-Table1[[#This Row],[Application_Date]]</f>
        <v>10</v>
      </c>
      <c r="B19" t="str">
        <f>IF(OR(Table1[[#This Row],[Offer_Date]]="",Table1[[#This Row],[Interview_Date]]=""),"",Table1[[#This Row],[Offer_Date]]-Table1[[#This Row],[Interview_Date]])</f>
        <v/>
      </c>
    </row>
    <row r="20" spans="1:2" x14ac:dyDescent="0.3">
      <c r="A20">
        <f>Table1[[#This Row],[Interview_Date]]-Table1[[#This Row],[Application_Date]]</f>
        <v>13</v>
      </c>
      <c r="B20" t="str">
        <f>IF(OR(Table1[[#This Row],[Offer_Date]]="",Table1[[#This Row],[Interview_Date]]=""),"",Table1[[#This Row],[Offer_Date]]-Table1[[#This Row],[Interview_Date]])</f>
        <v/>
      </c>
    </row>
    <row r="21" spans="1:2" x14ac:dyDescent="0.3">
      <c r="A21">
        <f>Table1[[#This Row],[Interview_Date]]-Table1[[#This Row],[Application_Date]]</f>
        <v>3</v>
      </c>
      <c r="B21" t="str">
        <f>IF(OR(Table1[[#This Row],[Offer_Date]]="",Table1[[#This Row],[Interview_Date]]=""),"",Table1[[#This Row],[Offer_Date]]-Table1[[#This Row],[Interview_Date]])</f>
        <v/>
      </c>
    </row>
    <row r="22" spans="1:2" x14ac:dyDescent="0.3">
      <c r="A22">
        <f>Table1[[#This Row],[Interview_Date]]-Table1[[#This Row],[Application_Date]]</f>
        <v>13</v>
      </c>
      <c r="B22">
        <f>IF(OR(Table1[[#This Row],[Offer_Date]]="",Table1[[#This Row],[Interview_Date]]=""),"",Table1[[#This Row],[Offer_Date]]-Table1[[#This Row],[Interview_Date]])</f>
        <v>6</v>
      </c>
    </row>
    <row r="23" spans="1:2" x14ac:dyDescent="0.3">
      <c r="A23">
        <f>Table1[[#This Row],[Interview_Date]]-Table1[[#This Row],[Application_Date]]</f>
        <v>3</v>
      </c>
      <c r="B23">
        <f>IF(OR(Table1[[#This Row],[Offer_Date]]="",Table1[[#This Row],[Interview_Date]]=""),"",Table1[[#This Row],[Offer_Date]]-Table1[[#This Row],[Interview_Date]])</f>
        <v>3</v>
      </c>
    </row>
    <row r="24" spans="1:2" x14ac:dyDescent="0.3">
      <c r="A24">
        <f>Table1[[#This Row],[Interview_Date]]-Table1[[#This Row],[Application_Date]]</f>
        <v>7</v>
      </c>
      <c r="B24">
        <f>IF(OR(Table1[[#This Row],[Offer_Date]]="",Table1[[#This Row],[Interview_Date]]=""),"",Table1[[#This Row],[Offer_Date]]-Table1[[#This Row],[Interview_Date]])</f>
        <v>4</v>
      </c>
    </row>
    <row r="25" spans="1:2" x14ac:dyDescent="0.3">
      <c r="A25">
        <f>Table1[[#This Row],[Interview_Date]]-Table1[[#This Row],[Application_Date]]</f>
        <v>7</v>
      </c>
      <c r="B25">
        <f>IF(OR(Table1[[#This Row],[Offer_Date]]="",Table1[[#This Row],[Interview_Date]]=""),"",Table1[[#This Row],[Offer_Date]]-Table1[[#This Row],[Interview_Date]])</f>
        <v>3</v>
      </c>
    </row>
    <row r="26" spans="1:2" x14ac:dyDescent="0.3">
      <c r="A26">
        <f>Table1[[#This Row],[Interview_Date]]-Table1[[#This Row],[Application_Date]]</f>
        <v>15</v>
      </c>
      <c r="B26" t="str">
        <f>IF(OR(Table1[[#This Row],[Offer_Date]]="",Table1[[#This Row],[Interview_Date]]=""),"",Table1[[#This Row],[Offer_Date]]-Table1[[#This Row],[Interview_Date]])</f>
        <v/>
      </c>
    </row>
    <row r="27" spans="1:2" x14ac:dyDescent="0.3">
      <c r="A27">
        <f>Table1[[#This Row],[Interview_Date]]-Table1[[#This Row],[Application_Date]]</f>
        <v>9</v>
      </c>
      <c r="B27">
        <f>IF(OR(Table1[[#This Row],[Offer_Date]]="",Table1[[#This Row],[Interview_Date]]=""),"",Table1[[#This Row],[Offer_Date]]-Table1[[#This Row],[Interview_Date]])</f>
        <v>2</v>
      </c>
    </row>
    <row r="28" spans="1:2" x14ac:dyDescent="0.3">
      <c r="A28">
        <f>Table1[[#This Row],[Interview_Date]]-Table1[[#This Row],[Application_Date]]</f>
        <v>12</v>
      </c>
      <c r="B28" t="str">
        <f>IF(OR(Table1[[#This Row],[Offer_Date]]="",Table1[[#This Row],[Interview_Date]]=""),"",Table1[[#This Row],[Offer_Date]]-Table1[[#This Row],[Interview_Date]])</f>
        <v/>
      </c>
    </row>
    <row r="29" spans="1:2" x14ac:dyDescent="0.3">
      <c r="A29">
        <f>Table1[[#This Row],[Interview_Date]]-Table1[[#This Row],[Application_Date]]</f>
        <v>5</v>
      </c>
      <c r="B29">
        <f>IF(OR(Table1[[#This Row],[Offer_Date]]="",Table1[[#This Row],[Interview_Date]]=""),"",Table1[[#This Row],[Offer_Date]]-Table1[[#This Row],[Interview_Date]])</f>
        <v>7</v>
      </c>
    </row>
    <row r="30" spans="1:2" x14ac:dyDescent="0.3">
      <c r="A30">
        <f>Table1[[#This Row],[Interview_Date]]-Table1[[#This Row],[Application_Date]]</f>
        <v>14</v>
      </c>
      <c r="B30" t="str">
        <f>IF(OR(Table1[[#This Row],[Offer_Date]]="",Table1[[#This Row],[Interview_Date]]=""),"",Table1[[#This Row],[Offer_Date]]-Table1[[#This Row],[Interview_Date]])</f>
        <v/>
      </c>
    </row>
    <row r="31" spans="1:2" x14ac:dyDescent="0.3">
      <c r="A31">
        <f>Table1[[#This Row],[Interview_Date]]-Table1[[#This Row],[Application_Date]]</f>
        <v>3</v>
      </c>
      <c r="B31" t="str">
        <f>IF(OR(Table1[[#This Row],[Offer_Date]]="",Table1[[#This Row],[Interview_Date]]=""),"",Table1[[#This Row],[Offer_Date]]-Table1[[#This Row],[Interview_Date]])</f>
        <v/>
      </c>
    </row>
    <row r="32" spans="1:2" x14ac:dyDescent="0.3">
      <c r="A32">
        <f>Table1[[#This Row],[Interview_Date]]-Table1[[#This Row],[Application_Date]]</f>
        <v>11</v>
      </c>
      <c r="B32">
        <f>IF(OR(Table1[[#This Row],[Offer_Date]]="",Table1[[#This Row],[Interview_Date]]=""),"",Table1[[#This Row],[Offer_Date]]-Table1[[#This Row],[Interview_Date]])</f>
        <v>4</v>
      </c>
    </row>
    <row r="33" spans="1:2" x14ac:dyDescent="0.3">
      <c r="A33">
        <f>Table1[[#This Row],[Interview_Date]]-Table1[[#This Row],[Application_Date]]</f>
        <v>10</v>
      </c>
      <c r="B33" t="str">
        <f>IF(OR(Table1[[#This Row],[Offer_Date]]="",Table1[[#This Row],[Interview_Date]]=""),"",Table1[[#This Row],[Offer_Date]]-Table1[[#This Row],[Interview_Date]])</f>
        <v/>
      </c>
    </row>
    <row r="34" spans="1:2" x14ac:dyDescent="0.3">
      <c r="A34">
        <f>Table1[[#This Row],[Interview_Date]]-Table1[[#This Row],[Application_Date]]</f>
        <v>11</v>
      </c>
      <c r="B34">
        <f>IF(OR(Table1[[#This Row],[Offer_Date]]="",Table1[[#This Row],[Interview_Date]]=""),"",Table1[[#This Row],[Offer_Date]]-Table1[[#This Row],[Interview_Date]])</f>
        <v>7</v>
      </c>
    </row>
    <row r="35" spans="1:2" x14ac:dyDescent="0.3">
      <c r="A35">
        <f>Table1[[#This Row],[Interview_Date]]-Table1[[#This Row],[Application_Date]]</f>
        <v>4</v>
      </c>
      <c r="B35" t="str">
        <f>IF(OR(Table1[[#This Row],[Offer_Date]]="",Table1[[#This Row],[Interview_Date]]=""),"",Table1[[#This Row],[Offer_Date]]-Table1[[#This Row],[Interview_Date]])</f>
        <v/>
      </c>
    </row>
    <row r="36" spans="1:2" x14ac:dyDescent="0.3">
      <c r="A36">
        <f>Table1[[#This Row],[Interview_Date]]-Table1[[#This Row],[Application_Date]]</f>
        <v>15</v>
      </c>
      <c r="B36">
        <f>IF(OR(Table1[[#This Row],[Offer_Date]]="",Table1[[#This Row],[Interview_Date]]=""),"",Table1[[#This Row],[Offer_Date]]-Table1[[#This Row],[Interview_Date]])</f>
        <v>6</v>
      </c>
    </row>
    <row r="37" spans="1:2" x14ac:dyDescent="0.3">
      <c r="A37">
        <f>Table1[[#This Row],[Interview_Date]]-Table1[[#This Row],[Application_Date]]</f>
        <v>14</v>
      </c>
      <c r="B37" t="str">
        <f>IF(OR(Table1[[#This Row],[Offer_Date]]="",Table1[[#This Row],[Interview_Date]]=""),"",Table1[[#This Row],[Offer_Date]]-Table1[[#This Row],[Interview_Date]])</f>
        <v/>
      </c>
    </row>
    <row r="38" spans="1:2" x14ac:dyDescent="0.3">
      <c r="A38">
        <f>Table1[[#This Row],[Interview_Date]]-Table1[[#This Row],[Application_Date]]</f>
        <v>3</v>
      </c>
      <c r="B38">
        <f>IF(OR(Table1[[#This Row],[Offer_Date]]="",Table1[[#This Row],[Interview_Date]]=""),"",Table1[[#This Row],[Offer_Date]]-Table1[[#This Row],[Interview_Date]])</f>
        <v>2</v>
      </c>
    </row>
    <row r="39" spans="1:2" x14ac:dyDescent="0.3">
      <c r="A39">
        <f>Table1[[#This Row],[Interview_Date]]-Table1[[#This Row],[Application_Date]]</f>
        <v>15</v>
      </c>
      <c r="B39">
        <f>IF(OR(Table1[[#This Row],[Offer_Date]]="",Table1[[#This Row],[Interview_Date]]=""),"",Table1[[#This Row],[Offer_Date]]-Table1[[#This Row],[Interview_Date]])</f>
        <v>7</v>
      </c>
    </row>
    <row r="40" spans="1:2" x14ac:dyDescent="0.3">
      <c r="A40">
        <f>Table1[[#This Row],[Interview_Date]]-Table1[[#This Row],[Application_Date]]</f>
        <v>15</v>
      </c>
      <c r="B40">
        <f>IF(OR(Table1[[#This Row],[Offer_Date]]="",Table1[[#This Row],[Interview_Date]]=""),"",Table1[[#This Row],[Offer_Date]]-Table1[[#This Row],[Interview_Date]])</f>
        <v>6</v>
      </c>
    </row>
    <row r="41" spans="1:2" x14ac:dyDescent="0.3">
      <c r="A41">
        <f>Table1[[#This Row],[Interview_Date]]-Table1[[#This Row],[Application_Date]]</f>
        <v>13</v>
      </c>
      <c r="B41" t="str">
        <f>IF(OR(Table1[[#This Row],[Offer_Date]]="",Table1[[#This Row],[Interview_Date]]=""),"",Table1[[#This Row],[Offer_Date]]-Table1[[#This Row],[Interview_Date]])</f>
        <v/>
      </c>
    </row>
    <row r="42" spans="1:2" x14ac:dyDescent="0.3">
      <c r="A42">
        <f>Table1[[#This Row],[Interview_Date]]-Table1[[#This Row],[Application_Date]]</f>
        <v>10</v>
      </c>
      <c r="B42" t="str">
        <f>IF(OR(Table1[[#This Row],[Offer_Date]]="",Table1[[#This Row],[Interview_Date]]=""),"",Table1[[#This Row],[Offer_Date]]-Table1[[#This Row],[Interview_Date]])</f>
        <v/>
      </c>
    </row>
    <row r="43" spans="1:2" x14ac:dyDescent="0.3">
      <c r="A43">
        <f>Table1[[#This Row],[Interview_Date]]-Table1[[#This Row],[Application_Date]]</f>
        <v>13</v>
      </c>
      <c r="B43" t="str">
        <f>IF(OR(Table1[[#This Row],[Offer_Date]]="",Table1[[#This Row],[Interview_Date]]=""),"",Table1[[#This Row],[Offer_Date]]-Table1[[#This Row],[Interview_Date]])</f>
        <v/>
      </c>
    </row>
    <row r="44" spans="1:2" x14ac:dyDescent="0.3">
      <c r="A44">
        <f>Table1[[#This Row],[Interview_Date]]-Table1[[#This Row],[Application_Date]]</f>
        <v>12</v>
      </c>
      <c r="B44">
        <f>IF(OR(Table1[[#This Row],[Offer_Date]]="",Table1[[#This Row],[Interview_Date]]=""),"",Table1[[#This Row],[Offer_Date]]-Table1[[#This Row],[Interview_Date]])</f>
        <v>5</v>
      </c>
    </row>
    <row r="45" spans="1:2" x14ac:dyDescent="0.3">
      <c r="A45">
        <f>Table1[[#This Row],[Interview_Date]]-Table1[[#This Row],[Application_Date]]</f>
        <v>6</v>
      </c>
      <c r="B45" t="str">
        <f>IF(OR(Table1[[#This Row],[Offer_Date]]="",Table1[[#This Row],[Interview_Date]]=""),"",Table1[[#This Row],[Offer_Date]]-Table1[[#This Row],[Interview_Date]])</f>
        <v/>
      </c>
    </row>
    <row r="46" spans="1:2" x14ac:dyDescent="0.3">
      <c r="A46">
        <f>Table1[[#This Row],[Interview_Date]]-Table1[[#This Row],[Application_Date]]</f>
        <v>3</v>
      </c>
      <c r="B46">
        <f>IF(OR(Table1[[#This Row],[Offer_Date]]="",Table1[[#This Row],[Interview_Date]]=""),"",Table1[[#This Row],[Offer_Date]]-Table1[[#This Row],[Interview_Date]])</f>
        <v>7</v>
      </c>
    </row>
    <row r="47" spans="1:2" x14ac:dyDescent="0.3">
      <c r="A47">
        <f>Table1[[#This Row],[Interview_Date]]-Table1[[#This Row],[Application_Date]]</f>
        <v>8</v>
      </c>
      <c r="B47" t="str">
        <f>IF(OR(Table1[[#This Row],[Offer_Date]]="",Table1[[#This Row],[Interview_Date]]=""),"",Table1[[#This Row],[Offer_Date]]-Table1[[#This Row],[Interview_Date]])</f>
        <v/>
      </c>
    </row>
    <row r="48" spans="1:2" x14ac:dyDescent="0.3">
      <c r="A48">
        <f>Table1[[#This Row],[Interview_Date]]-Table1[[#This Row],[Application_Date]]</f>
        <v>13</v>
      </c>
      <c r="B48" t="str">
        <f>IF(OR(Table1[[#This Row],[Offer_Date]]="",Table1[[#This Row],[Interview_Date]]=""),"",Table1[[#This Row],[Offer_Date]]-Table1[[#This Row],[Interview_Date]])</f>
        <v/>
      </c>
    </row>
    <row r="49" spans="1:2" x14ac:dyDescent="0.3">
      <c r="A49">
        <f>Table1[[#This Row],[Interview_Date]]-Table1[[#This Row],[Application_Date]]</f>
        <v>11</v>
      </c>
      <c r="B49" t="str">
        <f>IF(OR(Table1[[#This Row],[Offer_Date]]="",Table1[[#This Row],[Interview_Date]]=""),"",Table1[[#This Row],[Offer_Date]]-Table1[[#This Row],[Interview_Date]])</f>
        <v/>
      </c>
    </row>
    <row r="50" spans="1:2" x14ac:dyDescent="0.3">
      <c r="A50">
        <f>Table1[[#This Row],[Interview_Date]]-Table1[[#This Row],[Application_Date]]</f>
        <v>13</v>
      </c>
      <c r="B50">
        <f>IF(OR(Table1[[#This Row],[Offer_Date]]="",Table1[[#This Row],[Interview_Date]]=""),"",Table1[[#This Row],[Offer_Date]]-Table1[[#This Row],[Interview_Date]])</f>
        <v>6</v>
      </c>
    </row>
    <row r="51" spans="1:2" x14ac:dyDescent="0.3">
      <c r="A51">
        <f>Table1[[#This Row],[Interview_Date]]-Table1[[#This Row],[Application_Date]]</f>
        <v>8</v>
      </c>
      <c r="B51">
        <f>IF(OR(Table1[[#This Row],[Offer_Date]]="",Table1[[#This Row],[Interview_Date]]=""),"",Table1[[#This Row],[Offer_Date]]-Table1[[#This Row],[Interview_Date]])</f>
        <v>6</v>
      </c>
    </row>
    <row r="52" spans="1:2" x14ac:dyDescent="0.3">
      <c r="A52">
        <f>Table1[[#This Row],[Interview_Date]]-Table1[[#This Row],[Application_Date]]</f>
        <v>3</v>
      </c>
      <c r="B52" t="str">
        <f>IF(OR(Table1[[#This Row],[Offer_Date]]="",Table1[[#This Row],[Interview_Date]]=""),"",Table1[[#This Row],[Offer_Date]]-Table1[[#This Row],[Interview_Date]])</f>
        <v/>
      </c>
    </row>
    <row r="53" spans="1:2" x14ac:dyDescent="0.3">
      <c r="A53">
        <f>Table1[[#This Row],[Interview_Date]]-Table1[[#This Row],[Application_Date]]</f>
        <v>10</v>
      </c>
      <c r="B53">
        <f>IF(OR(Table1[[#This Row],[Offer_Date]]="",Table1[[#This Row],[Interview_Date]]=""),"",Table1[[#This Row],[Offer_Date]]-Table1[[#This Row],[Interview_Date]])</f>
        <v>2</v>
      </c>
    </row>
    <row r="54" spans="1:2" x14ac:dyDescent="0.3">
      <c r="A54">
        <f>Table1[[#This Row],[Interview_Date]]-Table1[[#This Row],[Application_Date]]</f>
        <v>6</v>
      </c>
      <c r="B54" t="str">
        <f>IF(OR(Table1[[#This Row],[Offer_Date]]="",Table1[[#This Row],[Interview_Date]]=""),"",Table1[[#This Row],[Offer_Date]]-Table1[[#This Row],[Interview_Date]])</f>
        <v/>
      </c>
    </row>
    <row r="55" spans="1:2" x14ac:dyDescent="0.3">
      <c r="A55">
        <f>Table1[[#This Row],[Interview_Date]]-Table1[[#This Row],[Application_Date]]</f>
        <v>3</v>
      </c>
      <c r="B55">
        <f>IF(OR(Table1[[#This Row],[Offer_Date]]="",Table1[[#This Row],[Interview_Date]]=""),"",Table1[[#This Row],[Offer_Date]]-Table1[[#This Row],[Interview_Date]])</f>
        <v>4</v>
      </c>
    </row>
    <row r="56" spans="1:2" x14ac:dyDescent="0.3">
      <c r="A56">
        <f>Table1[[#This Row],[Interview_Date]]-Table1[[#This Row],[Application_Date]]</f>
        <v>13</v>
      </c>
      <c r="B56">
        <f>IF(OR(Table1[[#This Row],[Offer_Date]]="",Table1[[#This Row],[Interview_Date]]=""),"",Table1[[#This Row],[Offer_Date]]-Table1[[#This Row],[Interview_Date]])</f>
        <v>5</v>
      </c>
    </row>
    <row r="57" spans="1:2" x14ac:dyDescent="0.3">
      <c r="A57">
        <f>Table1[[#This Row],[Interview_Date]]-Table1[[#This Row],[Application_Date]]</f>
        <v>5</v>
      </c>
      <c r="B57" t="str">
        <f>IF(OR(Table1[[#This Row],[Offer_Date]]="",Table1[[#This Row],[Interview_Date]]=""),"",Table1[[#This Row],[Offer_Date]]-Table1[[#This Row],[Interview_Date]])</f>
        <v/>
      </c>
    </row>
    <row r="58" spans="1:2" x14ac:dyDescent="0.3">
      <c r="A58">
        <f>Table1[[#This Row],[Interview_Date]]-Table1[[#This Row],[Application_Date]]</f>
        <v>9</v>
      </c>
      <c r="B58" t="str">
        <f>IF(OR(Table1[[#This Row],[Offer_Date]]="",Table1[[#This Row],[Interview_Date]]=""),"",Table1[[#This Row],[Offer_Date]]-Table1[[#This Row],[Interview_Date]])</f>
        <v/>
      </c>
    </row>
    <row r="59" spans="1:2" x14ac:dyDescent="0.3">
      <c r="A59">
        <f>Table1[[#This Row],[Interview_Date]]-Table1[[#This Row],[Application_Date]]</f>
        <v>14</v>
      </c>
      <c r="B59" t="str">
        <f>IF(OR(Table1[[#This Row],[Offer_Date]]="",Table1[[#This Row],[Interview_Date]]=""),"",Table1[[#This Row],[Offer_Date]]-Table1[[#This Row],[Interview_Date]])</f>
        <v/>
      </c>
    </row>
    <row r="60" spans="1:2" x14ac:dyDescent="0.3">
      <c r="A60">
        <f>Table1[[#This Row],[Interview_Date]]-Table1[[#This Row],[Application_Date]]</f>
        <v>3</v>
      </c>
      <c r="B60" t="str">
        <f>IF(OR(Table1[[#This Row],[Offer_Date]]="",Table1[[#This Row],[Interview_Date]]=""),"",Table1[[#This Row],[Offer_Date]]-Table1[[#This Row],[Interview_Date]])</f>
        <v/>
      </c>
    </row>
    <row r="61" spans="1:2" x14ac:dyDescent="0.3">
      <c r="A61">
        <f>Table1[[#This Row],[Interview_Date]]-Table1[[#This Row],[Application_Date]]</f>
        <v>9</v>
      </c>
      <c r="B61" t="str">
        <f>IF(OR(Table1[[#This Row],[Offer_Date]]="",Table1[[#This Row],[Interview_Date]]=""),"",Table1[[#This Row],[Offer_Date]]-Table1[[#This Row],[Interview_Date]])</f>
        <v/>
      </c>
    </row>
    <row r="62" spans="1:2" x14ac:dyDescent="0.3">
      <c r="A62">
        <f>Table1[[#This Row],[Interview_Date]]-Table1[[#This Row],[Application_Date]]</f>
        <v>11</v>
      </c>
      <c r="B62">
        <f>IF(OR(Table1[[#This Row],[Offer_Date]]="",Table1[[#This Row],[Interview_Date]]=""),"",Table1[[#This Row],[Offer_Date]]-Table1[[#This Row],[Interview_Date]])</f>
        <v>7</v>
      </c>
    </row>
    <row r="63" spans="1:2" x14ac:dyDescent="0.3">
      <c r="A63">
        <f>Table1[[#This Row],[Interview_Date]]-Table1[[#This Row],[Application_Date]]</f>
        <v>11</v>
      </c>
      <c r="B63">
        <f>IF(OR(Table1[[#This Row],[Offer_Date]]="",Table1[[#This Row],[Interview_Date]]=""),"",Table1[[#This Row],[Offer_Date]]-Table1[[#This Row],[Interview_Date]])</f>
        <v>4</v>
      </c>
    </row>
    <row r="64" spans="1:2" x14ac:dyDescent="0.3">
      <c r="A64">
        <f>Table1[[#This Row],[Interview_Date]]-Table1[[#This Row],[Application_Date]]</f>
        <v>6</v>
      </c>
      <c r="B64">
        <f>IF(OR(Table1[[#This Row],[Offer_Date]]="",Table1[[#This Row],[Interview_Date]]=""),"",Table1[[#This Row],[Offer_Date]]-Table1[[#This Row],[Interview_Date]])</f>
        <v>6</v>
      </c>
    </row>
    <row r="65" spans="1:2" x14ac:dyDescent="0.3">
      <c r="A65">
        <f>Table1[[#This Row],[Interview_Date]]-Table1[[#This Row],[Application_Date]]</f>
        <v>4</v>
      </c>
      <c r="B65" t="str">
        <f>IF(OR(Table1[[#This Row],[Offer_Date]]="",Table1[[#This Row],[Interview_Date]]=""),"",Table1[[#This Row],[Offer_Date]]-Table1[[#This Row],[Interview_Date]])</f>
        <v/>
      </c>
    </row>
    <row r="66" spans="1:2" x14ac:dyDescent="0.3">
      <c r="A66">
        <f>Table1[[#This Row],[Interview_Date]]-Table1[[#This Row],[Application_Date]]</f>
        <v>7</v>
      </c>
      <c r="B66">
        <f>IF(OR(Table1[[#This Row],[Offer_Date]]="",Table1[[#This Row],[Interview_Date]]=""),"",Table1[[#This Row],[Offer_Date]]-Table1[[#This Row],[Interview_Date]])</f>
        <v>3</v>
      </c>
    </row>
    <row r="67" spans="1:2" x14ac:dyDescent="0.3">
      <c r="A67">
        <f>Table1[[#This Row],[Interview_Date]]-Table1[[#This Row],[Application_Date]]</f>
        <v>14</v>
      </c>
      <c r="B67" t="str">
        <f>IF(OR(Table1[[#This Row],[Offer_Date]]="",Table1[[#This Row],[Interview_Date]]=""),"",Table1[[#This Row],[Offer_Date]]-Table1[[#This Row],[Interview_Date]])</f>
        <v/>
      </c>
    </row>
    <row r="68" spans="1:2" x14ac:dyDescent="0.3">
      <c r="A68">
        <f>Table1[[#This Row],[Interview_Date]]-Table1[[#This Row],[Application_Date]]</f>
        <v>10</v>
      </c>
      <c r="B68">
        <f>IF(OR(Table1[[#This Row],[Offer_Date]]="",Table1[[#This Row],[Interview_Date]]=""),"",Table1[[#This Row],[Offer_Date]]-Table1[[#This Row],[Interview_Date]])</f>
        <v>5</v>
      </c>
    </row>
    <row r="69" spans="1:2" x14ac:dyDescent="0.3">
      <c r="A69">
        <f>Table1[[#This Row],[Interview_Date]]-Table1[[#This Row],[Application_Date]]</f>
        <v>4</v>
      </c>
      <c r="B69" t="str">
        <f>IF(OR(Table1[[#This Row],[Offer_Date]]="",Table1[[#This Row],[Interview_Date]]=""),"",Table1[[#This Row],[Offer_Date]]-Table1[[#This Row],[Interview_Date]])</f>
        <v/>
      </c>
    </row>
    <row r="70" spans="1:2" x14ac:dyDescent="0.3">
      <c r="A70">
        <f>Table1[[#This Row],[Interview_Date]]-Table1[[#This Row],[Application_Date]]</f>
        <v>13</v>
      </c>
      <c r="B70" t="str">
        <f>IF(OR(Table1[[#This Row],[Offer_Date]]="",Table1[[#This Row],[Interview_Date]]=""),"",Table1[[#This Row],[Offer_Date]]-Table1[[#This Row],[Interview_Date]])</f>
        <v/>
      </c>
    </row>
    <row r="71" spans="1:2" x14ac:dyDescent="0.3">
      <c r="A71">
        <f>Table1[[#This Row],[Interview_Date]]-Table1[[#This Row],[Application_Date]]</f>
        <v>4</v>
      </c>
      <c r="B71">
        <f>IF(OR(Table1[[#This Row],[Offer_Date]]="",Table1[[#This Row],[Interview_Date]]=""),"",Table1[[#This Row],[Offer_Date]]-Table1[[#This Row],[Interview_Date]])</f>
        <v>6</v>
      </c>
    </row>
    <row r="72" spans="1:2" x14ac:dyDescent="0.3">
      <c r="A72">
        <f>Table1[[#This Row],[Interview_Date]]-Table1[[#This Row],[Application_Date]]</f>
        <v>3</v>
      </c>
      <c r="B72">
        <f>IF(OR(Table1[[#This Row],[Offer_Date]]="",Table1[[#This Row],[Interview_Date]]=""),"",Table1[[#This Row],[Offer_Date]]-Table1[[#This Row],[Interview_Date]])</f>
        <v>7</v>
      </c>
    </row>
    <row r="73" spans="1:2" x14ac:dyDescent="0.3">
      <c r="A73">
        <f>Table1[[#This Row],[Interview_Date]]-Table1[[#This Row],[Application_Date]]</f>
        <v>3</v>
      </c>
      <c r="B73" t="str">
        <f>IF(OR(Table1[[#This Row],[Offer_Date]]="",Table1[[#This Row],[Interview_Date]]=""),"",Table1[[#This Row],[Offer_Date]]-Table1[[#This Row],[Interview_Date]])</f>
        <v/>
      </c>
    </row>
    <row r="74" spans="1:2" x14ac:dyDescent="0.3">
      <c r="A74">
        <f>Table1[[#This Row],[Interview_Date]]-Table1[[#This Row],[Application_Date]]</f>
        <v>7</v>
      </c>
      <c r="B74">
        <f>IF(OR(Table1[[#This Row],[Offer_Date]]="",Table1[[#This Row],[Interview_Date]]=""),"",Table1[[#This Row],[Offer_Date]]-Table1[[#This Row],[Interview_Date]])</f>
        <v>7</v>
      </c>
    </row>
    <row r="75" spans="1:2" x14ac:dyDescent="0.3">
      <c r="A75">
        <f>Table1[[#This Row],[Interview_Date]]-Table1[[#This Row],[Application_Date]]</f>
        <v>8</v>
      </c>
      <c r="B75" t="str">
        <f>IF(OR(Table1[[#This Row],[Offer_Date]]="",Table1[[#This Row],[Interview_Date]]=""),"",Table1[[#This Row],[Offer_Date]]-Table1[[#This Row],[Interview_Date]])</f>
        <v/>
      </c>
    </row>
    <row r="76" spans="1:2" x14ac:dyDescent="0.3">
      <c r="A76">
        <f>Table1[[#This Row],[Interview_Date]]-Table1[[#This Row],[Application_Date]]</f>
        <v>10</v>
      </c>
      <c r="B76">
        <f>IF(OR(Table1[[#This Row],[Offer_Date]]="",Table1[[#This Row],[Interview_Date]]=""),"",Table1[[#This Row],[Offer_Date]]-Table1[[#This Row],[Interview_Date]])</f>
        <v>3</v>
      </c>
    </row>
    <row r="77" spans="1:2" x14ac:dyDescent="0.3">
      <c r="A77">
        <f>Table1[[#This Row],[Interview_Date]]-Table1[[#This Row],[Application_Date]]</f>
        <v>3</v>
      </c>
      <c r="B77">
        <f>IF(OR(Table1[[#This Row],[Offer_Date]]="",Table1[[#This Row],[Interview_Date]]=""),"",Table1[[#This Row],[Offer_Date]]-Table1[[#This Row],[Interview_Date]])</f>
        <v>6</v>
      </c>
    </row>
    <row r="78" spans="1:2" x14ac:dyDescent="0.3">
      <c r="A78">
        <f>Table1[[#This Row],[Interview_Date]]-Table1[[#This Row],[Application_Date]]</f>
        <v>3</v>
      </c>
      <c r="B78">
        <f>IF(OR(Table1[[#This Row],[Offer_Date]]="",Table1[[#This Row],[Interview_Date]]=""),"",Table1[[#This Row],[Offer_Date]]-Table1[[#This Row],[Interview_Date]])</f>
        <v>3</v>
      </c>
    </row>
    <row r="79" spans="1:2" x14ac:dyDescent="0.3">
      <c r="A79">
        <f>Table1[[#This Row],[Interview_Date]]-Table1[[#This Row],[Application_Date]]</f>
        <v>4</v>
      </c>
      <c r="B79" t="str">
        <f>IF(OR(Table1[[#This Row],[Offer_Date]]="",Table1[[#This Row],[Interview_Date]]=""),"",Table1[[#This Row],[Offer_Date]]-Table1[[#This Row],[Interview_Date]])</f>
        <v/>
      </c>
    </row>
    <row r="80" spans="1:2" x14ac:dyDescent="0.3">
      <c r="A80">
        <f>Table1[[#This Row],[Interview_Date]]-Table1[[#This Row],[Application_Date]]</f>
        <v>8</v>
      </c>
      <c r="B80" t="str">
        <f>IF(OR(Table1[[#This Row],[Offer_Date]]="",Table1[[#This Row],[Interview_Date]]=""),"",Table1[[#This Row],[Offer_Date]]-Table1[[#This Row],[Interview_Date]])</f>
        <v/>
      </c>
    </row>
    <row r="81" spans="1:2" x14ac:dyDescent="0.3">
      <c r="A81">
        <f>Table1[[#This Row],[Interview_Date]]-Table1[[#This Row],[Application_Date]]</f>
        <v>3</v>
      </c>
      <c r="B81" t="str">
        <f>IF(OR(Table1[[#This Row],[Offer_Date]]="",Table1[[#This Row],[Interview_Date]]=""),"",Table1[[#This Row],[Offer_Date]]-Table1[[#This Row],[Interview_Date]])</f>
        <v/>
      </c>
    </row>
    <row r="82" spans="1:2" x14ac:dyDescent="0.3">
      <c r="A82">
        <f>Table1[[#This Row],[Interview_Date]]-Table1[[#This Row],[Application_Date]]</f>
        <v>10</v>
      </c>
      <c r="B82" t="str">
        <f>IF(OR(Table1[[#This Row],[Offer_Date]]="",Table1[[#This Row],[Interview_Date]]=""),"",Table1[[#This Row],[Offer_Date]]-Table1[[#This Row],[Interview_Date]])</f>
        <v/>
      </c>
    </row>
    <row r="83" spans="1:2" x14ac:dyDescent="0.3">
      <c r="A83">
        <f>Table1[[#This Row],[Interview_Date]]-Table1[[#This Row],[Application_Date]]</f>
        <v>9</v>
      </c>
      <c r="B83" t="str">
        <f>IF(OR(Table1[[#This Row],[Offer_Date]]="",Table1[[#This Row],[Interview_Date]]=""),"",Table1[[#This Row],[Offer_Date]]-Table1[[#This Row],[Interview_Date]])</f>
        <v/>
      </c>
    </row>
    <row r="84" spans="1:2" x14ac:dyDescent="0.3">
      <c r="A84">
        <f>Table1[[#This Row],[Interview_Date]]-Table1[[#This Row],[Application_Date]]</f>
        <v>11</v>
      </c>
      <c r="B84">
        <f>IF(OR(Table1[[#This Row],[Offer_Date]]="",Table1[[#This Row],[Interview_Date]]=""),"",Table1[[#This Row],[Offer_Date]]-Table1[[#This Row],[Interview_Date]])</f>
        <v>5</v>
      </c>
    </row>
    <row r="85" spans="1:2" x14ac:dyDescent="0.3">
      <c r="A85">
        <f>Table1[[#This Row],[Interview_Date]]-Table1[[#This Row],[Application_Date]]</f>
        <v>6</v>
      </c>
      <c r="B85" t="str">
        <f>IF(OR(Table1[[#This Row],[Offer_Date]]="",Table1[[#This Row],[Interview_Date]]=""),"",Table1[[#This Row],[Offer_Date]]-Table1[[#This Row],[Interview_Date]])</f>
        <v/>
      </c>
    </row>
    <row r="86" spans="1:2" x14ac:dyDescent="0.3">
      <c r="A86">
        <f>Table1[[#This Row],[Interview_Date]]-Table1[[#This Row],[Application_Date]]</f>
        <v>15</v>
      </c>
      <c r="B86" t="str">
        <f>IF(OR(Table1[[#This Row],[Offer_Date]]="",Table1[[#This Row],[Interview_Date]]=""),"",Table1[[#This Row],[Offer_Date]]-Table1[[#This Row],[Interview_Date]])</f>
        <v/>
      </c>
    </row>
    <row r="87" spans="1:2" x14ac:dyDescent="0.3">
      <c r="A87">
        <f>Table1[[#This Row],[Interview_Date]]-Table1[[#This Row],[Application_Date]]</f>
        <v>10</v>
      </c>
      <c r="B87" t="str">
        <f>IF(OR(Table1[[#This Row],[Offer_Date]]="",Table1[[#This Row],[Interview_Date]]=""),"",Table1[[#This Row],[Offer_Date]]-Table1[[#This Row],[Interview_Date]])</f>
        <v/>
      </c>
    </row>
    <row r="88" spans="1:2" x14ac:dyDescent="0.3">
      <c r="A88">
        <f>Table1[[#This Row],[Interview_Date]]-Table1[[#This Row],[Application_Date]]</f>
        <v>13</v>
      </c>
      <c r="B88">
        <f>IF(OR(Table1[[#This Row],[Offer_Date]]="",Table1[[#This Row],[Interview_Date]]=""),"",Table1[[#This Row],[Offer_Date]]-Table1[[#This Row],[Interview_Date]])</f>
        <v>2</v>
      </c>
    </row>
    <row r="89" spans="1:2" x14ac:dyDescent="0.3">
      <c r="A89">
        <f>Table1[[#This Row],[Interview_Date]]-Table1[[#This Row],[Application_Date]]</f>
        <v>14</v>
      </c>
      <c r="B89" t="str">
        <f>IF(OR(Table1[[#This Row],[Offer_Date]]="",Table1[[#This Row],[Interview_Date]]=""),"",Table1[[#This Row],[Offer_Date]]-Table1[[#This Row],[Interview_Date]])</f>
        <v/>
      </c>
    </row>
    <row r="90" spans="1:2" x14ac:dyDescent="0.3">
      <c r="A90">
        <f>Table1[[#This Row],[Interview_Date]]-Table1[[#This Row],[Application_Date]]</f>
        <v>3</v>
      </c>
      <c r="B90">
        <f>IF(OR(Table1[[#This Row],[Offer_Date]]="",Table1[[#This Row],[Interview_Date]]=""),"",Table1[[#This Row],[Offer_Date]]-Table1[[#This Row],[Interview_Date]])</f>
        <v>2</v>
      </c>
    </row>
    <row r="91" spans="1:2" x14ac:dyDescent="0.3">
      <c r="A91">
        <f>Table1[[#This Row],[Interview_Date]]-Table1[[#This Row],[Application_Date]]</f>
        <v>15</v>
      </c>
      <c r="B91" t="str">
        <f>IF(OR(Table1[[#This Row],[Offer_Date]]="",Table1[[#This Row],[Interview_Date]]=""),"",Table1[[#This Row],[Offer_Date]]-Table1[[#This Row],[Interview_Date]])</f>
        <v/>
      </c>
    </row>
    <row r="92" spans="1:2" x14ac:dyDescent="0.3">
      <c r="A92">
        <f>Table1[[#This Row],[Interview_Date]]-Table1[[#This Row],[Application_Date]]</f>
        <v>13</v>
      </c>
      <c r="B92">
        <f>IF(OR(Table1[[#This Row],[Offer_Date]]="",Table1[[#This Row],[Interview_Date]]=""),"",Table1[[#This Row],[Offer_Date]]-Table1[[#This Row],[Interview_Date]])</f>
        <v>3</v>
      </c>
    </row>
    <row r="93" spans="1:2" x14ac:dyDescent="0.3">
      <c r="A93">
        <f>Table1[[#This Row],[Interview_Date]]-Table1[[#This Row],[Application_Date]]</f>
        <v>11</v>
      </c>
      <c r="B93">
        <f>IF(OR(Table1[[#This Row],[Offer_Date]]="",Table1[[#This Row],[Interview_Date]]=""),"",Table1[[#This Row],[Offer_Date]]-Table1[[#This Row],[Interview_Date]])</f>
        <v>3</v>
      </c>
    </row>
    <row r="94" spans="1:2" x14ac:dyDescent="0.3">
      <c r="A94">
        <f>Table1[[#This Row],[Interview_Date]]-Table1[[#This Row],[Application_Date]]</f>
        <v>13</v>
      </c>
      <c r="B94">
        <f>IF(OR(Table1[[#This Row],[Offer_Date]]="",Table1[[#This Row],[Interview_Date]]=""),"",Table1[[#This Row],[Offer_Date]]-Table1[[#This Row],[Interview_Date]])</f>
        <v>3</v>
      </c>
    </row>
    <row r="95" spans="1:2" x14ac:dyDescent="0.3">
      <c r="A95">
        <f>Table1[[#This Row],[Interview_Date]]-Table1[[#This Row],[Application_Date]]</f>
        <v>14</v>
      </c>
      <c r="B95" t="str">
        <f>IF(OR(Table1[[#This Row],[Offer_Date]]="",Table1[[#This Row],[Interview_Date]]=""),"",Table1[[#This Row],[Offer_Date]]-Table1[[#This Row],[Interview_Date]])</f>
        <v/>
      </c>
    </row>
    <row r="96" spans="1:2" x14ac:dyDescent="0.3">
      <c r="A96">
        <f>Table1[[#This Row],[Interview_Date]]-Table1[[#This Row],[Application_Date]]</f>
        <v>4</v>
      </c>
      <c r="B96">
        <f>IF(OR(Table1[[#This Row],[Offer_Date]]="",Table1[[#This Row],[Interview_Date]]=""),"",Table1[[#This Row],[Offer_Date]]-Table1[[#This Row],[Interview_Date]])</f>
        <v>3</v>
      </c>
    </row>
    <row r="97" spans="1:2" x14ac:dyDescent="0.3">
      <c r="A97">
        <f>Table1[[#This Row],[Interview_Date]]-Table1[[#This Row],[Application_Date]]</f>
        <v>9</v>
      </c>
      <c r="B97">
        <f>IF(OR(Table1[[#This Row],[Offer_Date]]="",Table1[[#This Row],[Interview_Date]]=""),"",Table1[[#This Row],[Offer_Date]]-Table1[[#This Row],[Interview_Date]])</f>
        <v>4</v>
      </c>
    </row>
    <row r="98" spans="1:2" x14ac:dyDescent="0.3">
      <c r="A98">
        <f>Table1[[#This Row],[Interview_Date]]-Table1[[#This Row],[Application_Date]]</f>
        <v>4</v>
      </c>
      <c r="B98">
        <f>IF(OR(Table1[[#This Row],[Offer_Date]]="",Table1[[#This Row],[Interview_Date]]=""),"",Table1[[#This Row],[Offer_Date]]-Table1[[#This Row],[Interview_Date]])</f>
        <v>6</v>
      </c>
    </row>
    <row r="99" spans="1:2" x14ac:dyDescent="0.3">
      <c r="A99">
        <f>Table1[[#This Row],[Interview_Date]]-Table1[[#This Row],[Application_Date]]</f>
        <v>7</v>
      </c>
      <c r="B99">
        <f>IF(OR(Table1[[#This Row],[Offer_Date]]="",Table1[[#This Row],[Interview_Date]]=""),"",Table1[[#This Row],[Offer_Date]]-Table1[[#This Row],[Interview_Date]])</f>
        <v>7</v>
      </c>
    </row>
    <row r="100" spans="1:2" x14ac:dyDescent="0.3">
      <c r="A100">
        <f>Table1[[#This Row],[Interview_Date]]-Table1[[#This Row],[Application_Date]]</f>
        <v>11</v>
      </c>
      <c r="B100" t="str">
        <f>IF(OR(Table1[[#This Row],[Offer_Date]]="",Table1[[#This Row],[Interview_Date]]=""),"",Table1[[#This Row],[Offer_Date]]-Table1[[#This Row],[Interview_Date]])</f>
        <v/>
      </c>
    </row>
    <row r="101" spans="1:2" x14ac:dyDescent="0.3">
      <c r="A101">
        <f>Table1[[#This Row],[Interview_Date]]-Table1[[#This Row],[Application_Date]]</f>
        <v>11</v>
      </c>
      <c r="B101">
        <f>IF(OR(Table1[[#This Row],[Offer_Date]]="",Table1[[#This Row],[Interview_Date]]=""),"",Table1[[#This Row],[Offer_Date]]-Table1[[#This Row],[Interview_Date]])</f>
        <v>6</v>
      </c>
    </row>
    <row r="102" spans="1:2" x14ac:dyDescent="0.3">
      <c r="A102">
        <f>Table1[[#This Row],[Interview_Date]]-Table1[[#This Row],[Application_Date]]</f>
        <v>12</v>
      </c>
      <c r="B102" t="str">
        <f>IF(OR(Table1[[#This Row],[Offer_Date]]="",Table1[[#This Row],[Interview_Date]]=""),"",Table1[[#This Row],[Offer_Date]]-Table1[[#This Row],[Interview_Date]])</f>
        <v/>
      </c>
    </row>
    <row r="103" spans="1:2" x14ac:dyDescent="0.3">
      <c r="A103">
        <f>Table1[[#This Row],[Interview_Date]]-Table1[[#This Row],[Application_Date]]</f>
        <v>11</v>
      </c>
      <c r="B103">
        <f>IF(OR(Table1[[#This Row],[Offer_Date]]="",Table1[[#This Row],[Interview_Date]]=""),"",Table1[[#This Row],[Offer_Date]]-Table1[[#This Row],[Interview_Date]])</f>
        <v>4</v>
      </c>
    </row>
    <row r="104" spans="1:2" x14ac:dyDescent="0.3">
      <c r="A104">
        <f>Table1[[#This Row],[Interview_Date]]-Table1[[#This Row],[Application_Date]]</f>
        <v>13</v>
      </c>
      <c r="B104" t="str">
        <f>IF(OR(Table1[[#This Row],[Offer_Date]]="",Table1[[#This Row],[Interview_Date]]=""),"",Table1[[#This Row],[Offer_Date]]-Table1[[#This Row],[Interview_Date]])</f>
        <v/>
      </c>
    </row>
    <row r="105" spans="1:2" x14ac:dyDescent="0.3">
      <c r="A105">
        <f>Table1[[#This Row],[Interview_Date]]-Table1[[#This Row],[Application_Date]]</f>
        <v>8</v>
      </c>
      <c r="B105">
        <f>IF(OR(Table1[[#This Row],[Offer_Date]]="",Table1[[#This Row],[Interview_Date]]=""),"",Table1[[#This Row],[Offer_Date]]-Table1[[#This Row],[Interview_Date]])</f>
        <v>7</v>
      </c>
    </row>
    <row r="106" spans="1:2" x14ac:dyDescent="0.3">
      <c r="A106">
        <f>Table1[[#This Row],[Interview_Date]]-Table1[[#This Row],[Application_Date]]</f>
        <v>11</v>
      </c>
      <c r="B106">
        <f>IF(OR(Table1[[#This Row],[Offer_Date]]="",Table1[[#This Row],[Interview_Date]]=""),"",Table1[[#This Row],[Offer_Date]]-Table1[[#This Row],[Interview_Date]])</f>
        <v>2</v>
      </c>
    </row>
    <row r="107" spans="1:2" x14ac:dyDescent="0.3">
      <c r="A107">
        <f>Table1[[#This Row],[Interview_Date]]-Table1[[#This Row],[Application_Date]]</f>
        <v>10</v>
      </c>
      <c r="B107">
        <f>IF(OR(Table1[[#This Row],[Offer_Date]]="",Table1[[#This Row],[Interview_Date]]=""),"",Table1[[#This Row],[Offer_Date]]-Table1[[#This Row],[Interview_Date]])</f>
        <v>7</v>
      </c>
    </row>
    <row r="108" spans="1:2" x14ac:dyDescent="0.3">
      <c r="A108">
        <f>Table1[[#This Row],[Interview_Date]]-Table1[[#This Row],[Application_Date]]</f>
        <v>9</v>
      </c>
      <c r="B108" t="str">
        <f>IF(OR(Table1[[#This Row],[Offer_Date]]="",Table1[[#This Row],[Interview_Date]]=""),"",Table1[[#This Row],[Offer_Date]]-Table1[[#This Row],[Interview_Date]])</f>
        <v/>
      </c>
    </row>
    <row r="109" spans="1:2" x14ac:dyDescent="0.3">
      <c r="A109">
        <f>Table1[[#This Row],[Interview_Date]]-Table1[[#This Row],[Application_Date]]</f>
        <v>5</v>
      </c>
      <c r="B109" t="str">
        <f>IF(OR(Table1[[#This Row],[Offer_Date]]="",Table1[[#This Row],[Interview_Date]]=""),"",Table1[[#This Row],[Offer_Date]]-Table1[[#This Row],[Interview_Date]])</f>
        <v/>
      </c>
    </row>
    <row r="110" spans="1:2" x14ac:dyDescent="0.3">
      <c r="A110">
        <f>Table1[[#This Row],[Interview_Date]]-Table1[[#This Row],[Application_Date]]</f>
        <v>7</v>
      </c>
      <c r="B110">
        <f>IF(OR(Table1[[#This Row],[Offer_Date]]="",Table1[[#This Row],[Interview_Date]]=""),"",Table1[[#This Row],[Offer_Date]]-Table1[[#This Row],[Interview_Date]])</f>
        <v>2</v>
      </c>
    </row>
    <row r="111" spans="1:2" x14ac:dyDescent="0.3">
      <c r="A111">
        <f>Table1[[#This Row],[Interview_Date]]-Table1[[#This Row],[Application_Date]]</f>
        <v>10</v>
      </c>
      <c r="B111">
        <f>IF(OR(Table1[[#This Row],[Offer_Date]]="",Table1[[#This Row],[Interview_Date]]=""),"",Table1[[#This Row],[Offer_Date]]-Table1[[#This Row],[Interview_Date]])</f>
        <v>4</v>
      </c>
    </row>
    <row r="112" spans="1:2" x14ac:dyDescent="0.3">
      <c r="A112">
        <f>Table1[[#This Row],[Interview_Date]]-Table1[[#This Row],[Application_Date]]</f>
        <v>11</v>
      </c>
      <c r="B112" t="str">
        <f>IF(OR(Table1[[#This Row],[Offer_Date]]="",Table1[[#This Row],[Interview_Date]]=""),"",Table1[[#This Row],[Offer_Date]]-Table1[[#This Row],[Interview_Date]])</f>
        <v/>
      </c>
    </row>
    <row r="113" spans="1:2" x14ac:dyDescent="0.3">
      <c r="A113">
        <f>Table1[[#This Row],[Interview_Date]]-Table1[[#This Row],[Application_Date]]</f>
        <v>4</v>
      </c>
      <c r="B113" t="str">
        <f>IF(OR(Table1[[#This Row],[Offer_Date]]="",Table1[[#This Row],[Interview_Date]]=""),"",Table1[[#This Row],[Offer_Date]]-Table1[[#This Row],[Interview_Date]])</f>
        <v/>
      </c>
    </row>
    <row r="114" spans="1:2" x14ac:dyDescent="0.3">
      <c r="A114">
        <f>Table1[[#This Row],[Interview_Date]]-Table1[[#This Row],[Application_Date]]</f>
        <v>7</v>
      </c>
      <c r="B114">
        <f>IF(OR(Table1[[#This Row],[Offer_Date]]="",Table1[[#This Row],[Interview_Date]]=""),"",Table1[[#This Row],[Offer_Date]]-Table1[[#This Row],[Interview_Date]])</f>
        <v>5</v>
      </c>
    </row>
    <row r="115" spans="1:2" x14ac:dyDescent="0.3">
      <c r="A115">
        <f>Table1[[#This Row],[Interview_Date]]-Table1[[#This Row],[Application_Date]]</f>
        <v>11</v>
      </c>
      <c r="B115" t="str">
        <f>IF(OR(Table1[[#This Row],[Offer_Date]]="",Table1[[#This Row],[Interview_Date]]=""),"",Table1[[#This Row],[Offer_Date]]-Table1[[#This Row],[Interview_Date]])</f>
        <v/>
      </c>
    </row>
    <row r="116" spans="1:2" x14ac:dyDescent="0.3">
      <c r="A116">
        <f>Table1[[#This Row],[Interview_Date]]-Table1[[#This Row],[Application_Date]]</f>
        <v>14</v>
      </c>
      <c r="B116" t="str">
        <f>IF(OR(Table1[[#This Row],[Offer_Date]]="",Table1[[#This Row],[Interview_Date]]=""),"",Table1[[#This Row],[Offer_Date]]-Table1[[#This Row],[Interview_Date]])</f>
        <v/>
      </c>
    </row>
    <row r="117" spans="1:2" x14ac:dyDescent="0.3">
      <c r="A117">
        <f>Table1[[#This Row],[Interview_Date]]-Table1[[#This Row],[Application_Date]]</f>
        <v>14</v>
      </c>
      <c r="B117">
        <f>IF(OR(Table1[[#This Row],[Offer_Date]]="",Table1[[#This Row],[Interview_Date]]=""),"",Table1[[#This Row],[Offer_Date]]-Table1[[#This Row],[Interview_Date]])</f>
        <v>6</v>
      </c>
    </row>
    <row r="118" spans="1:2" x14ac:dyDescent="0.3">
      <c r="A118">
        <f>Table1[[#This Row],[Interview_Date]]-Table1[[#This Row],[Application_Date]]</f>
        <v>13</v>
      </c>
      <c r="B118" t="str">
        <f>IF(OR(Table1[[#This Row],[Offer_Date]]="",Table1[[#This Row],[Interview_Date]]=""),"",Table1[[#This Row],[Offer_Date]]-Table1[[#This Row],[Interview_Date]])</f>
        <v/>
      </c>
    </row>
    <row r="119" spans="1:2" x14ac:dyDescent="0.3">
      <c r="A119">
        <f>Table1[[#This Row],[Interview_Date]]-Table1[[#This Row],[Application_Date]]</f>
        <v>13</v>
      </c>
      <c r="B119">
        <f>IF(OR(Table1[[#This Row],[Offer_Date]]="",Table1[[#This Row],[Interview_Date]]=""),"",Table1[[#This Row],[Offer_Date]]-Table1[[#This Row],[Interview_Date]])</f>
        <v>6</v>
      </c>
    </row>
    <row r="120" spans="1:2" x14ac:dyDescent="0.3">
      <c r="A120">
        <f>Table1[[#This Row],[Interview_Date]]-Table1[[#This Row],[Application_Date]]</f>
        <v>14</v>
      </c>
      <c r="B120">
        <f>IF(OR(Table1[[#This Row],[Offer_Date]]="",Table1[[#This Row],[Interview_Date]]=""),"",Table1[[#This Row],[Offer_Date]]-Table1[[#This Row],[Interview_Date]])</f>
        <v>3</v>
      </c>
    </row>
    <row r="121" spans="1:2" x14ac:dyDescent="0.3">
      <c r="A121">
        <f>Table1[[#This Row],[Interview_Date]]-Table1[[#This Row],[Application_Date]]</f>
        <v>13</v>
      </c>
      <c r="B121" t="str">
        <f>IF(OR(Table1[[#This Row],[Offer_Date]]="",Table1[[#This Row],[Interview_Date]]=""),"",Table1[[#This Row],[Offer_Date]]-Table1[[#This Row],[Interview_Date]])</f>
        <v/>
      </c>
    </row>
    <row r="122" spans="1:2" x14ac:dyDescent="0.3">
      <c r="A122">
        <f>Table1[[#This Row],[Interview_Date]]-Table1[[#This Row],[Application_Date]]</f>
        <v>8</v>
      </c>
      <c r="B122" t="str">
        <f>IF(OR(Table1[[#This Row],[Offer_Date]]="",Table1[[#This Row],[Interview_Date]]=""),"",Table1[[#This Row],[Offer_Date]]-Table1[[#This Row],[Interview_Date]])</f>
        <v/>
      </c>
    </row>
    <row r="123" spans="1:2" x14ac:dyDescent="0.3">
      <c r="A123">
        <f>Table1[[#This Row],[Interview_Date]]-Table1[[#This Row],[Application_Date]]</f>
        <v>6</v>
      </c>
      <c r="B123">
        <f>IF(OR(Table1[[#This Row],[Offer_Date]]="",Table1[[#This Row],[Interview_Date]]=""),"",Table1[[#This Row],[Offer_Date]]-Table1[[#This Row],[Interview_Date]])</f>
        <v>7</v>
      </c>
    </row>
    <row r="124" spans="1:2" x14ac:dyDescent="0.3">
      <c r="A124">
        <f>Table1[[#This Row],[Interview_Date]]-Table1[[#This Row],[Application_Date]]</f>
        <v>9</v>
      </c>
      <c r="B124">
        <f>IF(OR(Table1[[#This Row],[Offer_Date]]="",Table1[[#This Row],[Interview_Date]]=""),"",Table1[[#This Row],[Offer_Date]]-Table1[[#This Row],[Interview_Date]])</f>
        <v>5</v>
      </c>
    </row>
    <row r="125" spans="1:2" x14ac:dyDescent="0.3">
      <c r="A125">
        <f>Table1[[#This Row],[Interview_Date]]-Table1[[#This Row],[Application_Date]]</f>
        <v>11</v>
      </c>
      <c r="B125">
        <f>IF(OR(Table1[[#This Row],[Offer_Date]]="",Table1[[#This Row],[Interview_Date]]=""),"",Table1[[#This Row],[Offer_Date]]-Table1[[#This Row],[Interview_Date]])</f>
        <v>5</v>
      </c>
    </row>
    <row r="126" spans="1:2" x14ac:dyDescent="0.3">
      <c r="A126">
        <f>Table1[[#This Row],[Interview_Date]]-Table1[[#This Row],[Application_Date]]</f>
        <v>12</v>
      </c>
      <c r="B126" t="str">
        <f>IF(OR(Table1[[#This Row],[Offer_Date]]="",Table1[[#This Row],[Interview_Date]]=""),"",Table1[[#This Row],[Offer_Date]]-Table1[[#This Row],[Interview_Date]])</f>
        <v/>
      </c>
    </row>
    <row r="127" spans="1:2" x14ac:dyDescent="0.3">
      <c r="A127">
        <f>Table1[[#This Row],[Interview_Date]]-Table1[[#This Row],[Application_Date]]</f>
        <v>6</v>
      </c>
      <c r="B127">
        <f>IF(OR(Table1[[#This Row],[Offer_Date]]="",Table1[[#This Row],[Interview_Date]]=""),"",Table1[[#This Row],[Offer_Date]]-Table1[[#This Row],[Interview_Date]])</f>
        <v>3</v>
      </c>
    </row>
    <row r="128" spans="1:2" x14ac:dyDescent="0.3">
      <c r="A128">
        <f>Table1[[#This Row],[Interview_Date]]-Table1[[#This Row],[Application_Date]]</f>
        <v>15</v>
      </c>
      <c r="B128">
        <f>IF(OR(Table1[[#This Row],[Offer_Date]]="",Table1[[#This Row],[Interview_Date]]=""),"",Table1[[#This Row],[Offer_Date]]-Table1[[#This Row],[Interview_Date]])</f>
        <v>5</v>
      </c>
    </row>
    <row r="129" spans="1:2" x14ac:dyDescent="0.3">
      <c r="A129">
        <f>Table1[[#This Row],[Interview_Date]]-Table1[[#This Row],[Application_Date]]</f>
        <v>3</v>
      </c>
      <c r="B129">
        <f>IF(OR(Table1[[#This Row],[Offer_Date]]="",Table1[[#This Row],[Interview_Date]]=""),"",Table1[[#This Row],[Offer_Date]]-Table1[[#This Row],[Interview_Date]])</f>
        <v>7</v>
      </c>
    </row>
    <row r="130" spans="1:2" x14ac:dyDescent="0.3">
      <c r="A130">
        <f>Table1[[#This Row],[Interview_Date]]-Table1[[#This Row],[Application_Date]]</f>
        <v>3</v>
      </c>
      <c r="B130">
        <f>IF(OR(Table1[[#This Row],[Offer_Date]]="",Table1[[#This Row],[Interview_Date]]=""),"",Table1[[#This Row],[Offer_Date]]-Table1[[#This Row],[Interview_Date]])</f>
        <v>7</v>
      </c>
    </row>
    <row r="131" spans="1:2" x14ac:dyDescent="0.3">
      <c r="A131">
        <f>Table1[[#This Row],[Interview_Date]]-Table1[[#This Row],[Application_Date]]</f>
        <v>5</v>
      </c>
      <c r="B131" t="str">
        <f>IF(OR(Table1[[#This Row],[Offer_Date]]="",Table1[[#This Row],[Interview_Date]]=""),"",Table1[[#This Row],[Offer_Date]]-Table1[[#This Row],[Interview_Date]])</f>
        <v/>
      </c>
    </row>
    <row r="132" spans="1:2" x14ac:dyDescent="0.3">
      <c r="A132">
        <f>Table1[[#This Row],[Interview_Date]]-Table1[[#This Row],[Application_Date]]</f>
        <v>5</v>
      </c>
      <c r="B132" t="str">
        <f>IF(OR(Table1[[#This Row],[Offer_Date]]="",Table1[[#This Row],[Interview_Date]]=""),"",Table1[[#This Row],[Offer_Date]]-Table1[[#This Row],[Interview_Date]])</f>
        <v/>
      </c>
    </row>
    <row r="133" spans="1:2" x14ac:dyDescent="0.3">
      <c r="A133">
        <f>Table1[[#This Row],[Interview_Date]]-Table1[[#This Row],[Application_Date]]</f>
        <v>3</v>
      </c>
      <c r="B133" t="str">
        <f>IF(OR(Table1[[#This Row],[Offer_Date]]="",Table1[[#This Row],[Interview_Date]]=""),"",Table1[[#This Row],[Offer_Date]]-Table1[[#This Row],[Interview_Date]])</f>
        <v/>
      </c>
    </row>
    <row r="134" spans="1:2" x14ac:dyDescent="0.3">
      <c r="A134">
        <f>Table1[[#This Row],[Interview_Date]]-Table1[[#This Row],[Application_Date]]</f>
        <v>10</v>
      </c>
      <c r="B134">
        <f>IF(OR(Table1[[#This Row],[Offer_Date]]="",Table1[[#This Row],[Interview_Date]]=""),"",Table1[[#This Row],[Offer_Date]]-Table1[[#This Row],[Interview_Date]])</f>
        <v>3</v>
      </c>
    </row>
    <row r="135" spans="1:2" x14ac:dyDescent="0.3">
      <c r="A135">
        <f>Table1[[#This Row],[Interview_Date]]-Table1[[#This Row],[Application_Date]]</f>
        <v>6</v>
      </c>
      <c r="B135" t="str">
        <f>IF(OR(Table1[[#This Row],[Offer_Date]]="",Table1[[#This Row],[Interview_Date]]=""),"",Table1[[#This Row],[Offer_Date]]-Table1[[#This Row],[Interview_Date]])</f>
        <v/>
      </c>
    </row>
    <row r="136" spans="1:2" x14ac:dyDescent="0.3">
      <c r="A136">
        <f>Table1[[#This Row],[Interview_Date]]-Table1[[#This Row],[Application_Date]]</f>
        <v>11</v>
      </c>
      <c r="B136">
        <f>IF(OR(Table1[[#This Row],[Offer_Date]]="",Table1[[#This Row],[Interview_Date]]=""),"",Table1[[#This Row],[Offer_Date]]-Table1[[#This Row],[Interview_Date]])</f>
        <v>4</v>
      </c>
    </row>
    <row r="137" spans="1:2" x14ac:dyDescent="0.3">
      <c r="A137">
        <f>Table1[[#This Row],[Interview_Date]]-Table1[[#This Row],[Application_Date]]</f>
        <v>9</v>
      </c>
      <c r="B137">
        <f>IF(OR(Table1[[#This Row],[Offer_Date]]="",Table1[[#This Row],[Interview_Date]]=""),"",Table1[[#This Row],[Offer_Date]]-Table1[[#This Row],[Interview_Date]])</f>
        <v>7</v>
      </c>
    </row>
    <row r="138" spans="1:2" x14ac:dyDescent="0.3">
      <c r="A138">
        <f>Table1[[#This Row],[Interview_Date]]-Table1[[#This Row],[Application_Date]]</f>
        <v>8</v>
      </c>
      <c r="B138">
        <f>IF(OR(Table1[[#This Row],[Offer_Date]]="",Table1[[#This Row],[Interview_Date]]=""),"",Table1[[#This Row],[Offer_Date]]-Table1[[#This Row],[Interview_Date]])</f>
        <v>4</v>
      </c>
    </row>
    <row r="139" spans="1:2" x14ac:dyDescent="0.3">
      <c r="A139">
        <f>Table1[[#This Row],[Interview_Date]]-Table1[[#This Row],[Application_Date]]</f>
        <v>13</v>
      </c>
      <c r="B139">
        <f>IF(OR(Table1[[#This Row],[Offer_Date]]="",Table1[[#This Row],[Interview_Date]]=""),"",Table1[[#This Row],[Offer_Date]]-Table1[[#This Row],[Interview_Date]])</f>
        <v>2</v>
      </c>
    </row>
    <row r="140" spans="1:2" x14ac:dyDescent="0.3">
      <c r="A140">
        <f>Table1[[#This Row],[Interview_Date]]-Table1[[#This Row],[Application_Date]]</f>
        <v>11</v>
      </c>
      <c r="B140" t="str">
        <f>IF(OR(Table1[[#This Row],[Offer_Date]]="",Table1[[#This Row],[Interview_Date]]=""),"",Table1[[#This Row],[Offer_Date]]-Table1[[#This Row],[Interview_Date]])</f>
        <v/>
      </c>
    </row>
    <row r="141" spans="1:2" x14ac:dyDescent="0.3">
      <c r="A141">
        <f>Table1[[#This Row],[Interview_Date]]-Table1[[#This Row],[Application_Date]]</f>
        <v>10</v>
      </c>
      <c r="B141" t="str">
        <f>IF(OR(Table1[[#This Row],[Offer_Date]]="",Table1[[#This Row],[Interview_Date]]=""),"",Table1[[#This Row],[Offer_Date]]-Table1[[#This Row],[Interview_Date]])</f>
        <v/>
      </c>
    </row>
    <row r="142" spans="1:2" x14ac:dyDescent="0.3">
      <c r="A142">
        <f>Table1[[#This Row],[Interview_Date]]-Table1[[#This Row],[Application_Date]]</f>
        <v>12</v>
      </c>
      <c r="B142">
        <f>IF(OR(Table1[[#This Row],[Offer_Date]]="",Table1[[#This Row],[Interview_Date]]=""),"",Table1[[#This Row],[Offer_Date]]-Table1[[#This Row],[Interview_Date]])</f>
        <v>4</v>
      </c>
    </row>
    <row r="143" spans="1:2" x14ac:dyDescent="0.3">
      <c r="A143">
        <f>Table1[[#This Row],[Interview_Date]]-Table1[[#This Row],[Application_Date]]</f>
        <v>9</v>
      </c>
      <c r="B143" t="str">
        <f>IF(OR(Table1[[#This Row],[Offer_Date]]="",Table1[[#This Row],[Interview_Date]]=""),"",Table1[[#This Row],[Offer_Date]]-Table1[[#This Row],[Interview_Date]])</f>
        <v/>
      </c>
    </row>
    <row r="144" spans="1:2" x14ac:dyDescent="0.3">
      <c r="A144">
        <f>Table1[[#This Row],[Interview_Date]]-Table1[[#This Row],[Application_Date]]</f>
        <v>6</v>
      </c>
      <c r="B144" t="str">
        <f>IF(OR(Table1[[#This Row],[Offer_Date]]="",Table1[[#This Row],[Interview_Date]]=""),"",Table1[[#This Row],[Offer_Date]]-Table1[[#This Row],[Interview_Date]])</f>
        <v/>
      </c>
    </row>
    <row r="145" spans="1:2" x14ac:dyDescent="0.3">
      <c r="A145">
        <f>Table1[[#This Row],[Interview_Date]]-Table1[[#This Row],[Application_Date]]</f>
        <v>5</v>
      </c>
      <c r="B145" t="str">
        <f>IF(OR(Table1[[#This Row],[Offer_Date]]="",Table1[[#This Row],[Interview_Date]]=""),"",Table1[[#This Row],[Offer_Date]]-Table1[[#This Row],[Interview_Date]])</f>
        <v/>
      </c>
    </row>
    <row r="146" spans="1:2" x14ac:dyDescent="0.3">
      <c r="A146">
        <f>Table1[[#This Row],[Interview_Date]]-Table1[[#This Row],[Application_Date]]</f>
        <v>8</v>
      </c>
      <c r="B146">
        <f>IF(OR(Table1[[#This Row],[Offer_Date]]="",Table1[[#This Row],[Interview_Date]]=""),"",Table1[[#This Row],[Offer_Date]]-Table1[[#This Row],[Interview_Date]])</f>
        <v>2</v>
      </c>
    </row>
    <row r="147" spans="1:2" x14ac:dyDescent="0.3">
      <c r="A147">
        <f>Table1[[#This Row],[Interview_Date]]-Table1[[#This Row],[Application_Date]]</f>
        <v>6</v>
      </c>
      <c r="B147">
        <f>IF(OR(Table1[[#This Row],[Offer_Date]]="",Table1[[#This Row],[Interview_Date]]=""),"",Table1[[#This Row],[Offer_Date]]-Table1[[#This Row],[Interview_Date]])</f>
        <v>4</v>
      </c>
    </row>
    <row r="148" spans="1:2" x14ac:dyDescent="0.3">
      <c r="A148">
        <f>Table1[[#This Row],[Interview_Date]]-Table1[[#This Row],[Application_Date]]</f>
        <v>7</v>
      </c>
      <c r="B148">
        <f>IF(OR(Table1[[#This Row],[Offer_Date]]="",Table1[[#This Row],[Interview_Date]]=""),"",Table1[[#This Row],[Offer_Date]]-Table1[[#This Row],[Interview_Date]])</f>
        <v>3</v>
      </c>
    </row>
    <row r="149" spans="1:2" x14ac:dyDescent="0.3">
      <c r="A149">
        <f>Table1[[#This Row],[Interview_Date]]-Table1[[#This Row],[Application_Date]]</f>
        <v>5</v>
      </c>
      <c r="B149" t="str">
        <f>IF(OR(Table1[[#This Row],[Offer_Date]]="",Table1[[#This Row],[Interview_Date]]=""),"",Table1[[#This Row],[Offer_Date]]-Table1[[#This Row],[Interview_Date]])</f>
        <v/>
      </c>
    </row>
    <row r="150" spans="1:2" x14ac:dyDescent="0.3">
      <c r="A150">
        <f>Table1[[#This Row],[Interview_Date]]-Table1[[#This Row],[Application_Date]]</f>
        <v>6</v>
      </c>
      <c r="B150">
        <f>IF(OR(Table1[[#This Row],[Offer_Date]]="",Table1[[#This Row],[Interview_Date]]=""),"",Table1[[#This Row],[Offer_Date]]-Table1[[#This Row],[Interview_Date]])</f>
        <v>4</v>
      </c>
    </row>
    <row r="151" spans="1:2" x14ac:dyDescent="0.3">
      <c r="A151">
        <f>Table1[[#This Row],[Interview_Date]]-Table1[[#This Row],[Application_Date]]</f>
        <v>13</v>
      </c>
      <c r="B151">
        <f>IF(OR(Table1[[#This Row],[Offer_Date]]="",Table1[[#This Row],[Interview_Date]]=""),"",Table1[[#This Row],[Offer_Date]]-Table1[[#This Row],[Interview_Date]])</f>
        <v>5</v>
      </c>
    </row>
    <row r="152" spans="1:2" x14ac:dyDescent="0.3">
      <c r="A152">
        <f>Table1[[#This Row],[Interview_Date]]-Table1[[#This Row],[Application_Date]]</f>
        <v>15</v>
      </c>
      <c r="B152">
        <f>IF(OR(Table1[[#This Row],[Offer_Date]]="",Table1[[#This Row],[Interview_Date]]=""),"",Table1[[#This Row],[Offer_Date]]-Table1[[#This Row],[Interview_Date]])</f>
        <v>7</v>
      </c>
    </row>
    <row r="153" spans="1:2" x14ac:dyDescent="0.3">
      <c r="A153">
        <f>Table1[[#This Row],[Interview_Date]]-Table1[[#This Row],[Application_Date]]</f>
        <v>10</v>
      </c>
      <c r="B153">
        <f>IF(OR(Table1[[#This Row],[Offer_Date]]="",Table1[[#This Row],[Interview_Date]]=""),"",Table1[[#This Row],[Offer_Date]]-Table1[[#This Row],[Interview_Date]])</f>
        <v>6</v>
      </c>
    </row>
    <row r="154" spans="1:2" x14ac:dyDescent="0.3">
      <c r="A154">
        <f>Table1[[#This Row],[Interview_Date]]-Table1[[#This Row],[Application_Date]]</f>
        <v>9</v>
      </c>
      <c r="B154">
        <f>IF(OR(Table1[[#This Row],[Offer_Date]]="",Table1[[#This Row],[Interview_Date]]=""),"",Table1[[#This Row],[Offer_Date]]-Table1[[#This Row],[Interview_Date]])</f>
        <v>6</v>
      </c>
    </row>
    <row r="155" spans="1:2" x14ac:dyDescent="0.3">
      <c r="A155">
        <f>Table1[[#This Row],[Interview_Date]]-Table1[[#This Row],[Application_Date]]</f>
        <v>11</v>
      </c>
      <c r="B155" t="str">
        <f>IF(OR(Table1[[#This Row],[Offer_Date]]="",Table1[[#This Row],[Interview_Date]]=""),"",Table1[[#This Row],[Offer_Date]]-Table1[[#This Row],[Interview_Date]])</f>
        <v/>
      </c>
    </row>
    <row r="156" spans="1:2" x14ac:dyDescent="0.3">
      <c r="A156">
        <f>Table1[[#This Row],[Interview_Date]]-Table1[[#This Row],[Application_Date]]</f>
        <v>10</v>
      </c>
      <c r="B156">
        <f>IF(OR(Table1[[#This Row],[Offer_Date]]="",Table1[[#This Row],[Interview_Date]]=""),"",Table1[[#This Row],[Offer_Date]]-Table1[[#This Row],[Interview_Date]])</f>
        <v>6</v>
      </c>
    </row>
    <row r="157" spans="1:2" x14ac:dyDescent="0.3">
      <c r="A157">
        <f>Table1[[#This Row],[Interview_Date]]-Table1[[#This Row],[Application_Date]]</f>
        <v>9</v>
      </c>
      <c r="B157" t="str">
        <f>IF(OR(Table1[[#This Row],[Offer_Date]]="",Table1[[#This Row],[Interview_Date]]=""),"",Table1[[#This Row],[Offer_Date]]-Table1[[#This Row],[Interview_Date]])</f>
        <v/>
      </c>
    </row>
    <row r="158" spans="1:2" x14ac:dyDescent="0.3">
      <c r="A158">
        <f>Table1[[#This Row],[Interview_Date]]-Table1[[#This Row],[Application_Date]]</f>
        <v>10</v>
      </c>
      <c r="B158">
        <f>IF(OR(Table1[[#This Row],[Offer_Date]]="",Table1[[#This Row],[Interview_Date]]=""),"",Table1[[#This Row],[Offer_Date]]-Table1[[#This Row],[Interview_Date]])</f>
        <v>5</v>
      </c>
    </row>
    <row r="159" spans="1:2" x14ac:dyDescent="0.3">
      <c r="A159">
        <f>Table1[[#This Row],[Interview_Date]]-Table1[[#This Row],[Application_Date]]</f>
        <v>14</v>
      </c>
      <c r="B159">
        <f>IF(OR(Table1[[#This Row],[Offer_Date]]="",Table1[[#This Row],[Interview_Date]]=""),"",Table1[[#This Row],[Offer_Date]]-Table1[[#This Row],[Interview_Date]])</f>
        <v>4</v>
      </c>
    </row>
    <row r="160" spans="1:2" x14ac:dyDescent="0.3">
      <c r="A160">
        <f>Table1[[#This Row],[Interview_Date]]-Table1[[#This Row],[Application_Date]]</f>
        <v>7</v>
      </c>
      <c r="B160" t="str">
        <f>IF(OR(Table1[[#This Row],[Offer_Date]]="",Table1[[#This Row],[Interview_Date]]=""),"",Table1[[#This Row],[Offer_Date]]-Table1[[#This Row],[Interview_Date]])</f>
        <v/>
      </c>
    </row>
    <row r="161" spans="1:2" x14ac:dyDescent="0.3">
      <c r="A161">
        <f>Table1[[#This Row],[Interview_Date]]-Table1[[#This Row],[Application_Date]]</f>
        <v>14</v>
      </c>
      <c r="B161" t="str">
        <f>IF(OR(Table1[[#This Row],[Offer_Date]]="",Table1[[#This Row],[Interview_Date]]=""),"",Table1[[#This Row],[Offer_Date]]-Table1[[#This Row],[Interview_Date]])</f>
        <v/>
      </c>
    </row>
    <row r="162" spans="1:2" x14ac:dyDescent="0.3">
      <c r="A162">
        <f>Table1[[#This Row],[Interview_Date]]-Table1[[#This Row],[Application_Date]]</f>
        <v>15</v>
      </c>
      <c r="B162">
        <f>IF(OR(Table1[[#This Row],[Offer_Date]]="",Table1[[#This Row],[Interview_Date]]=""),"",Table1[[#This Row],[Offer_Date]]-Table1[[#This Row],[Interview_Date]])</f>
        <v>2</v>
      </c>
    </row>
    <row r="163" spans="1:2" x14ac:dyDescent="0.3">
      <c r="A163">
        <f>Table1[[#This Row],[Interview_Date]]-Table1[[#This Row],[Application_Date]]</f>
        <v>4</v>
      </c>
      <c r="B163">
        <f>IF(OR(Table1[[#This Row],[Offer_Date]]="",Table1[[#This Row],[Interview_Date]]=""),"",Table1[[#This Row],[Offer_Date]]-Table1[[#This Row],[Interview_Date]])</f>
        <v>2</v>
      </c>
    </row>
    <row r="164" spans="1:2" x14ac:dyDescent="0.3">
      <c r="A164">
        <f>Table1[[#This Row],[Interview_Date]]-Table1[[#This Row],[Application_Date]]</f>
        <v>7</v>
      </c>
      <c r="B164">
        <f>IF(OR(Table1[[#This Row],[Offer_Date]]="",Table1[[#This Row],[Interview_Date]]=""),"",Table1[[#This Row],[Offer_Date]]-Table1[[#This Row],[Interview_Date]])</f>
        <v>6</v>
      </c>
    </row>
    <row r="165" spans="1:2" x14ac:dyDescent="0.3">
      <c r="A165">
        <f>Table1[[#This Row],[Interview_Date]]-Table1[[#This Row],[Application_Date]]</f>
        <v>9</v>
      </c>
      <c r="B165">
        <f>IF(OR(Table1[[#This Row],[Offer_Date]]="",Table1[[#This Row],[Interview_Date]]=""),"",Table1[[#This Row],[Offer_Date]]-Table1[[#This Row],[Interview_Date]])</f>
        <v>5</v>
      </c>
    </row>
    <row r="166" spans="1:2" x14ac:dyDescent="0.3">
      <c r="A166">
        <f>Table1[[#This Row],[Interview_Date]]-Table1[[#This Row],[Application_Date]]</f>
        <v>7</v>
      </c>
      <c r="B166" t="str">
        <f>IF(OR(Table1[[#This Row],[Offer_Date]]="",Table1[[#This Row],[Interview_Date]]=""),"",Table1[[#This Row],[Offer_Date]]-Table1[[#This Row],[Interview_Date]])</f>
        <v/>
      </c>
    </row>
    <row r="167" spans="1:2" x14ac:dyDescent="0.3">
      <c r="A167">
        <f>Table1[[#This Row],[Interview_Date]]-Table1[[#This Row],[Application_Date]]</f>
        <v>9</v>
      </c>
      <c r="B167">
        <f>IF(OR(Table1[[#This Row],[Offer_Date]]="",Table1[[#This Row],[Interview_Date]]=""),"",Table1[[#This Row],[Offer_Date]]-Table1[[#This Row],[Interview_Date]])</f>
        <v>4</v>
      </c>
    </row>
    <row r="168" spans="1:2" x14ac:dyDescent="0.3">
      <c r="A168">
        <f>Table1[[#This Row],[Interview_Date]]-Table1[[#This Row],[Application_Date]]</f>
        <v>14</v>
      </c>
      <c r="B168">
        <f>IF(OR(Table1[[#This Row],[Offer_Date]]="",Table1[[#This Row],[Interview_Date]]=""),"",Table1[[#This Row],[Offer_Date]]-Table1[[#This Row],[Interview_Date]])</f>
        <v>3</v>
      </c>
    </row>
    <row r="169" spans="1:2" x14ac:dyDescent="0.3">
      <c r="A169">
        <f>Table1[[#This Row],[Interview_Date]]-Table1[[#This Row],[Application_Date]]</f>
        <v>9</v>
      </c>
      <c r="B169">
        <f>IF(OR(Table1[[#This Row],[Offer_Date]]="",Table1[[#This Row],[Interview_Date]]=""),"",Table1[[#This Row],[Offer_Date]]-Table1[[#This Row],[Interview_Date]])</f>
        <v>4</v>
      </c>
    </row>
    <row r="170" spans="1:2" x14ac:dyDescent="0.3">
      <c r="A170">
        <f>Table1[[#This Row],[Interview_Date]]-Table1[[#This Row],[Application_Date]]</f>
        <v>12</v>
      </c>
      <c r="B170">
        <f>IF(OR(Table1[[#This Row],[Offer_Date]]="",Table1[[#This Row],[Interview_Date]]=""),"",Table1[[#This Row],[Offer_Date]]-Table1[[#This Row],[Interview_Date]])</f>
        <v>2</v>
      </c>
    </row>
    <row r="171" spans="1:2" x14ac:dyDescent="0.3">
      <c r="A171">
        <f>Table1[[#This Row],[Interview_Date]]-Table1[[#This Row],[Application_Date]]</f>
        <v>4</v>
      </c>
      <c r="B171">
        <f>IF(OR(Table1[[#This Row],[Offer_Date]]="",Table1[[#This Row],[Interview_Date]]=""),"",Table1[[#This Row],[Offer_Date]]-Table1[[#This Row],[Interview_Date]])</f>
        <v>4</v>
      </c>
    </row>
    <row r="172" spans="1:2" x14ac:dyDescent="0.3">
      <c r="A172">
        <f>Table1[[#This Row],[Interview_Date]]-Table1[[#This Row],[Application_Date]]</f>
        <v>4</v>
      </c>
      <c r="B172">
        <f>IF(OR(Table1[[#This Row],[Offer_Date]]="",Table1[[#This Row],[Interview_Date]]=""),"",Table1[[#This Row],[Offer_Date]]-Table1[[#This Row],[Interview_Date]])</f>
        <v>7</v>
      </c>
    </row>
    <row r="173" spans="1:2" x14ac:dyDescent="0.3">
      <c r="A173">
        <f>Table1[[#This Row],[Interview_Date]]-Table1[[#This Row],[Application_Date]]</f>
        <v>3</v>
      </c>
      <c r="B173">
        <f>IF(OR(Table1[[#This Row],[Offer_Date]]="",Table1[[#This Row],[Interview_Date]]=""),"",Table1[[#This Row],[Offer_Date]]-Table1[[#This Row],[Interview_Date]])</f>
        <v>5</v>
      </c>
    </row>
    <row r="174" spans="1:2" x14ac:dyDescent="0.3">
      <c r="A174">
        <f>Table1[[#This Row],[Interview_Date]]-Table1[[#This Row],[Application_Date]]</f>
        <v>12</v>
      </c>
      <c r="B174">
        <f>IF(OR(Table1[[#This Row],[Offer_Date]]="",Table1[[#This Row],[Interview_Date]]=""),"",Table1[[#This Row],[Offer_Date]]-Table1[[#This Row],[Interview_Date]])</f>
        <v>6</v>
      </c>
    </row>
    <row r="175" spans="1:2" x14ac:dyDescent="0.3">
      <c r="A175">
        <f>Table1[[#This Row],[Interview_Date]]-Table1[[#This Row],[Application_Date]]</f>
        <v>13</v>
      </c>
      <c r="B175" t="str">
        <f>IF(OR(Table1[[#This Row],[Offer_Date]]="",Table1[[#This Row],[Interview_Date]]=""),"",Table1[[#This Row],[Offer_Date]]-Table1[[#This Row],[Interview_Date]])</f>
        <v/>
      </c>
    </row>
    <row r="176" spans="1:2" x14ac:dyDescent="0.3">
      <c r="A176">
        <f>Table1[[#This Row],[Interview_Date]]-Table1[[#This Row],[Application_Date]]</f>
        <v>15</v>
      </c>
      <c r="B176" t="str">
        <f>IF(OR(Table1[[#This Row],[Offer_Date]]="",Table1[[#This Row],[Interview_Date]]=""),"",Table1[[#This Row],[Offer_Date]]-Table1[[#This Row],[Interview_Date]])</f>
        <v/>
      </c>
    </row>
    <row r="177" spans="1:2" x14ac:dyDescent="0.3">
      <c r="A177">
        <f>Table1[[#This Row],[Interview_Date]]-Table1[[#This Row],[Application_Date]]</f>
        <v>11</v>
      </c>
      <c r="B177" t="str">
        <f>IF(OR(Table1[[#This Row],[Offer_Date]]="",Table1[[#This Row],[Interview_Date]]=""),"",Table1[[#This Row],[Offer_Date]]-Table1[[#This Row],[Interview_Date]])</f>
        <v/>
      </c>
    </row>
    <row r="178" spans="1:2" x14ac:dyDescent="0.3">
      <c r="A178">
        <f>Table1[[#This Row],[Interview_Date]]-Table1[[#This Row],[Application_Date]]</f>
        <v>12</v>
      </c>
      <c r="B178" t="str">
        <f>IF(OR(Table1[[#This Row],[Offer_Date]]="",Table1[[#This Row],[Interview_Date]]=""),"",Table1[[#This Row],[Offer_Date]]-Table1[[#This Row],[Interview_Date]])</f>
        <v/>
      </c>
    </row>
    <row r="179" spans="1:2" x14ac:dyDescent="0.3">
      <c r="A179">
        <f>Table1[[#This Row],[Interview_Date]]-Table1[[#This Row],[Application_Date]]</f>
        <v>3</v>
      </c>
      <c r="B179">
        <f>IF(OR(Table1[[#This Row],[Offer_Date]]="",Table1[[#This Row],[Interview_Date]]=""),"",Table1[[#This Row],[Offer_Date]]-Table1[[#This Row],[Interview_Date]])</f>
        <v>5</v>
      </c>
    </row>
    <row r="180" spans="1:2" x14ac:dyDescent="0.3">
      <c r="A180">
        <f>Table1[[#This Row],[Interview_Date]]-Table1[[#This Row],[Application_Date]]</f>
        <v>5</v>
      </c>
      <c r="B180">
        <f>IF(OR(Table1[[#This Row],[Offer_Date]]="",Table1[[#This Row],[Interview_Date]]=""),"",Table1[[#This Row],[Offer_Date]]-Table1[[#This Row],[Interview_Date]])</f>
        <v>5</v>
      </c>
    </row>
    <row r="181" spans="1:2" x14ac:dyDescent="0.3">
      <c r="A181">
        <f>Table1[[#This Row],[Interview_Date]]-Table1[[#This Row],[Application_Date]]</f>
        <v>9</v>
      </c>
      <c r="B181">
        <f>IF(OR(Table1[[#This Row],[Offer_Date]]="",Table1[[#This Row],[Interview_Date]]=""),"",Table1[[#This Row],[Offer_Date]]-Table1[[#This Row],[Interview_Date]])</f>
        <v>5</v>
      </c>
    </row>
    <row r="182" spans="1:2" x14ac:dyDescent="0.3">
      <c r="A182">
        <f>Table1[[#This Row],[Interview_Date]]-Table1[[#This Row],[Application_Date]]</f>
        <v>10</v>
      </c>
      <c r="B182" t="str">
        <f>IF(OR(Table1[[#This Row],[Offer_Date]]="",Table1[[#This Row],[Interview_Date]]=""),"",Table1[[#This Row],[Offer_Date]]-Table1[[#This Row],[Interview_Date]])</f>
        <v/>
      </c>
    </row>
    <row r="183" spans="1:2" x14ac:dyDescent="0.3">
      <c r="A183">
        <f>Table1[[#This Row],[Interview_Date]]-Table1[[#This Row],[Application_Date]]</f>
        <v>9</v>
      </c>
      <c r="B183" t="str">
        <f>IF(OR(Table1[[#This Row],[Offer_Date]]="",Table1[[#This Row],[Interview_Date]]=""),"",Table1[[#This Row],[Offer_Date]]-Table1[[#This Row],[Interview_Date]])</f>
        <v/>
      </c>
    </row>
    <row r="184" spans="1:2" x14ac:dyDescent="0.3">
      <c r="A184">
        <f>Table1[[#This Row],[Interview_Date]]-Table1[[#This Row],[Application_Date]]</f>
        <v>11</v>
      </c>
      <c r="B184" t="str">
        <f>IF(OR(Table1[[#This Row],[Offer_Date]]="",Table1[[#This Row],[Interview_Date]]=""),"",Table1[[#This Row],[Offer_Date]]-Table1[[#This Row],[Interview_Date]])</f>
        <v/>
      </c>
    </row>
    <row r="185" spans="1:2" x14ac:dyDescent="0.3">
      <c r="A185">
        <f>Table1[[#This Row],[Interview_Date]]-Table1[[#This Row],[Application_Date]]</f>
        <v>11</v>
      </c>
      <c r="B185">
        <f>IF(OR(Table1[[#This Row],[Offer_Date]]="",Table1[[#This Row],[Interview_Date]]=""),"",Table1[[#This Row],[Offer_Date]]-Table1[[#This Row],[Interview_Date]])</f>
        <v>6</v>
      </c>
    </row>
    <row r="186" spans="1:2" x14ac:dyDescent="0.3">
      <c r="A186">
        <f>Table1[[#This Row],[Interview_Date]]-Table1[[#This Row],[Application_Date]]</f>
        <v>14</v>
      </c>
      <c r="B186" t="str">
        <f>IF(OR(Table1[[#This Row],[Offer_Date]]="",Table1[[#This Row],[Interview_Date]]=""),"",Table1[[#This Row],[Offer_Date]]-Table1[[#This Row],[Interview_Date]])</f>
        <v/>
      </c>
    </row>
    <row r="187" spans="1:2" x14ac:dyDescent="0.3">
      <c r="A187">
        <f>Table1[[#This Row],[Interview_Date]]-Table1[[#This Row],[Application_Date]]</f>
        <v>6</v>
      </c>
      <c r="B187">
        <f>IF(OR(Table1[[#This Row],[Offer_Date]]="",Table1[[#This Row],[Interview_Date]]=""),"",Table1[[#This Row],[Offer_Date]]-Table1[[#This Row],[Interview_Date]])</f>
        <v>4</v>
      </c>
    </row>
    <row r="188" spans="1:2" x14ac:dyDescent="0.3">
      <c r="A188">
        <f>Table1[[#This Row],[Interview_Date]]-Table1[[#This Row],[Application_Date]]</f>
        <v>13</v>
      </c>
      <c r="B188" t="str">
        <f>IF(OR(Table1[[#This Row],[Offer_Date]]="",Table1[[#This Row],[Interview_Date]]=""),"",Table1[[#This Row],[Offer_Date]]-Table1[[#This Row],[Interview_Date]])</f>
        <v/>
      </c>
    </row>
    <row r="189" spans="1:2" x14ac:dyDescent="0.3">
      <c r="A189">
        <f>Table1[[#This Row],[Interview_Date]]-Table1[[#This Row],[Application_Date]]</f>
        <v>15</v>
      </c>
      <c r="B189">
        <f>IF(OR(Table1[[#This Row],[Offer_Date]]="",Table1[[#This Row],[Interview_Date]]=""),"",Table1[[#This Row],[Offer_Date]]-Table1[[#This Row],[Interview_Date]])</f>
        <v>2</v>
      </c>
    </row>
    <row r="190" spans="1:2" x14ac:dyDescent="0.3">
      <c r="A190">
        <f>Table1[[#This Row],[Interview_Date]]-Table1[[#This Row],[Application_Date]]</f>
        <v>12</v>
      </c>
      <c r="B190">
        <f>IF(OR(Table1[[#This Row],[Offer_Date]]="",Table1[[#This Row],[Interview_Date]]=""),"",Table1[[#This Row],[Offer_Date]]-Table1[[#This Row],[Interview_Date]])</f>
        <v>7</v>
      </c>
    </row>
    <row r="191" spans="1:2" x14ac:dyDescent="0.3">
      <c r="A191">
        <f>Table1[[#This Row],[Interview_Date]]-Table1[[#This Row],[Application_Date]]</f>
        <v>10</v>
      </c>
      <c r="B191" t="str">
        <f>IF(OR(Table1[[#This Row],[Offer_Date]]="",Table1[[#This Row],[Interview_Date]]=""),"",Table1[[#This Row],[Offer_Date]]-Table1[[#This Row],[Interview_Date]])</f>
        <v/>
      </c>
    </row>
    <row r="192" spans="1:2" x14ac:dyDescent="0.3">
      <c r="A192">
        <f>Table1[[#This Row],[Interview_Date]]-Table1[[#This Row],[Application_Date]]</f>
        <v>7</v>
      </c>
      <c r="B192" t="str">
        <f>IF(OR(Table1[[#This Row],[Offer_Date]]="",Table1[[#This Row],[Interview_Date]]=""),"",Table1[[#This Row],[Offer_Date]]-Table1[[#This Row],[Interview_Date]])</f>
        <v/>
      </c>
    </row>
    <row r="193" spans="1:2" x14ac:dyDescent="0.3">
      <c r="A193">
        <f>Table1[[#This Row],[Interview_Date]]-Table1[[#This Row],[Application_Date]]</f>
        <v>14</v>
      </c>
      <c r="B193" t="str">
        <f>IF(OR(Table1[[#This Row],[Offer_Date]]="",Table1[[#This Row],[Interview_Date]]=""),"",Table1[[#This Row],[Offer_Date]]-Table1[[#This Row],[Interview_Date]])</f>
        <v/>
      </c>
    </row>
    <row r="194" spans="1:2" x14ac:dyDescent="0.3">
      <c r="A194">
        <f>Table1[[#This Row],[Interview_Date]]-Table1[[#This Row],[Application_Date]]</f>
        <v>8</v>
      </c>
      <c r="B194">
        <f>IF(OR(Table1[[#This Row],[Offer_Date]]="",Table1[[#This Row],[Interview_Date]]=""),"",Table1[[#This Row],[Offer_Date]]-Table1[[#This Row],[Interview_Date]])</f>
        <v>5</v>
      </c>
    </row>
    <row r="195" spans="1:2" x14ac:dyDescent="0.3">
      <c r="A195">
        <f>Table1[[#This Row],[Interview_Date]]-Table1[[#This Row],[Application_Date]]</f>
        <v>11</v>
      </c>
      <c r="B195">
        <f>IF(OR(Table1[[#This Row],[Offer_Date]]="",Table1[[#This Row],[Interview_Date]]=""),"",Table1[[#This Row],[Offer_Date]]-Table1[[#This Row],[Interview_Date]])</f>
        <v>3</v>
      </c>
    </row>
    <row r="196" spans="1:2" x14ac:dyDescent="0.3">
      <c r="A196">
        <f>Table1[[#This Row],[Interview_Date]]-Table1[[#This Row],[Application_Date]]</f>
        <v>9</v>
      </c>
      <c r="B196">
        <f>IF(OR(Table1[[#This Row],[Offer_Date]]="",Table1[[#This Row],[Interview_Date]]=""),"",Table1[[#This Row],[Offer_Date]]-Table1[[#This Row],[Interview_Date]])</f>
        <v>3</v>
      </c>
    </row>
    <row r="197" spans="1:2" x14ac:dyDescent="0.3">
      <c r="A197">
        <f>Table1[[#This Row],[Interview_Date]]-Table1[[#This Row],[Application_Date]]</f>
        <v>13</v>
      </c>
      <c r="B197" t="str">
        <f>IF(OR(Table1[[#This Row],[Offer_Date]]="",Table1[[#This Row],[Interview_Date]]=""),"",Table1[[#This Row],[Offer_Date]]-Table1[[#This Row],[Interview_Date]])</f>
        <v/>
      </c>
    </row>
    <row r="198" spans="1:2" x14ac:dyDescent="0.3">
      <c r="A198">
        <f>Table1[[#This Row],[Interview_Date]]-Table1[[#This Row],[Application_Date]]</f>
        <v>9</v>
      </c>
      <c r="B198">
        <f>IF(OR(Table1[[#This Row],[Offer_Date]]="",Table1[[#This Row],[Interview_Date]]=""),"",Table1[[#This Row],[Offer_Date]]-Table1[[#This Row],[Interview_Date]])</f>
        <v>6</v>
      </c>
    </row>
    <row r="199" spans="1:2" x14ac:dyDescent="0.3">
      <c r="A199">
        <f>Table1[[#This Row],[Interview_Date]]-Table1[[#This Row],[Application_Date]]</f>
        <v>5</v>
      </c>
      <c r="B199" t="str">
        <f>IF(OR(Table1[[#This Row],[Offer_Date]]="",Table1[[#This Row],[Interview_Date]]=""),"",Table1[[#This Row],[Offer_Date]]-Table1[[#This Row],[Interview_Date]])</f>
        <v/>
      </c>
    </row>
    <row r="200" spans="1:2" x14ac:dyDescent="0.3">
      <c r="A200">
        <f>Table1[[#This Row],[Interview_Date]]-Table1[[#This Row],[Application_Date]]</f>
        <v>15</v>
      </c>
      <c r="B200" t="str">
        <f>IF(OR(Table1[[#This Row],[Offer_Date]]="",Table1[[#This Row],[Interview_Date]]=""),"",Table1[[#This Row],[Offer_Date]]-Table1[[#This Row],[Interview_Date]])</f>
        <v/>
      </c>
    </row>
    <row r="201" spans="1:2" x14ac:dyDescent="0.3">
      <c r="A201">
        <f>Table1[[#This Row],[Interview_Date]]-Table1[[#This Row],[Application_Date]]</f>
        <v>14</v>
      </c>
      <c r="B201" t="str">
        <f>IF(OR(Table1[[#This Row],[Offer_Date]]="",Table1[[#This Row],[Interview_Date]]=""),"",Table1[[#This Row],[Offer_Date]]-Table1[[#This Row],[Interview_Date]])</f>
        <v/>
      </c>
    </row>
    <row r="202" spans="1:2" x14ac:dyDescent="0.3">
      <c r="A202">
        <f>Table1[[#This Row],[Interview_Date]]-Table1[[#This Row],[Application_Date]]</f>
        <v>8</v>
      </c>
      <c r="B202" t="str">
        <f>IF(OR(Table1[[#This Row],[Offer_Date]]="",Table1[[#This Row],[Interview_Date]]=""),"",Table1[[#This Row],[Offer_Date]]-Table1[[#This Row],[Interview_Date]])</f>
        <v/>
      </c>
    </row>
    <row r="203" spans="1:2" x14ac:dyDescent="0.3">
      <c r="A203">
        <f>Table1[[#This Row],[Interview_Date]]-Table1[[#This Row],[Application_Date]]</f>
        <v>6</v>
      </c>
      <c r="B203">
        <f>IF(OR(Table1[[#This Row],[Offer_Date]]="",Table1[[#This Row],[Interview_Date]]=""),"",Table1[[#This Row],[Offer_Date]]-Table1[[#This Row],[Interview_Date]])</f>
        <v>2</v>
      </c>
    </row>
    <row r="204" spans="1:2" x14ac:dyDescent="0.3">
      <c r="A204">
        <f>Table1[[#This Row],[Interview_Date]]-Table1[[#This Row],[Application_Date]]</f>
        <v>8</v>
      </c>
      <c r="B204" t="str">
        <f>IF(OR(Table1[[#This Row],[Offer_Date]]="",Table1[[#This Row],[Interview_Date]]=""),"",Table1[[#This Row],[Offer_Date]]-Table1[[#This Row],[Interview_Date]])</f>
        <v/>
      </c>
    </row>
    <row r="205" spans="1:2" x14ac:dyDescent="0.3">
      <c r="A205">
        <f>Table1[[#This Row],[Interview_Date]]-Table1[[#This Row],[Application_Date]]</f>
        <v>11</v>
      </c>
      <c r="B205" t="str">
        <f>IF(OR(Table1[[#This Row],[Offer_Date]]="",Table1[[#This Row],[Interview_Date]]=""),"",Table1[[#This Row],[Offer_Date]]-Table1[[#This Row],[Interview_Date]])</f>
        <v/>
      </c>
    </row>
    <row r="206" spans="1:2" x14ac:dyDescent="0.3">
      <c r="A206">
        <f>Table1[[#This Row],[Interview_Date]]-Table1[[#This Row],[Application_Date]]</f>
        <v>12</v>
      </c>
      <c r="B206" t="str">
        <f>IF(OR(Table1[[#This Row],[Offer_Date]]="",Table1[[#This Row],[Interview_Date]]=""),"",Table1[[#This Row],[Offer_Date]]-Table1[[#This Row],[Interview_Date]])</f>
        <v/>
      </c>
    </row>
    <row r="207" spans="1:2" x14ac:dyDescent="0.3">
      <c r="A207">
        <f>Table1[[#This Row],[Interview_Date]]-Table1[[#This Row],[Application_Date]]</f>
        <v>4</v>
      </c>
      <c r="B207">
        <f>IF(OR(Table1[[#This Row],[Offer_Date]]="",Table1[[#This Row],[Interview_Date]]=""),"",Table1[[#This Row],[Offer_Date]]-Table1[[#This Row],[Interview_Date]])</f>
        <v>5</v>
      </c>
    </row>
    <row r="208" spans="1:2" x14ac:dyDescent="0.3">
      <c r="A208">
        <f>Table1[[#This Row],[Interview_Date]]-Table1[[#This Row],[Application_Date]]</f>
        <v>9</v>
      </c>
      <c r="B208" t="str">
        <f>IF(OR(Table1[[#This Row],[Offer_Date]]="",Table1[[#This Row],[Interview_Date]]=""),"",Table1[[#This Row],[Offer_Date]]-Table1[[#This Row],[Interview_Date]])</f>
        <v/>
      </c>
    </row>
    <row r="209" spans="1:2" x14ac:dyDescent="0.3">
      <c r="A209">
        <f>Table1[[#This Row],[Interview_Date]]-Table1[[#This Row],[Application_Date]]</f>
        <v>7</v>
      </c>
      <c r="B209" t="str">
        <f>IF(OR(Table1[[#This Row],[Offer_Date]]="",Table1[[#This Row],[Interview_Date]]=""),"",Table1[[#This Row],[Offer_Date]]-Table1[[#This Row],[Interview_Date]])</f>
        <v/>
      </c>
    </row>
    <row r="210" spans="1:2" x14ac:dyDescent="0.3">
      <c r="A210">
        <f>Table1[[#This Row],[Interview_Date]]-Table1[[#This Row],[Application_Date]]</f>
        <v>3</v>
      </c>
      <c r="B210" t="str">
        <f>IF(OR(Table1[[#This Row],[Offer_Date]]="",Table1[[#This Row],[Interview_Date]]=""),"",Table1[[#This Row],[Offer_Date]]-Table1[[#This Row],[Interview_Date]])</f>
        <v/>
      </c>
    </row>
    <row r="211" spans="1:2" x14ac:dyDescent="0.3">
      <c r="A211">
        <f>Table1[[#This Row],[Interview_Date]]-Table1[[#This Row],[Application_Date]]</f>
        <v>9</v>
      </c>
      <c r="B211" t="str">
        <f>IF(OR(Table1[[#This Row],[Offer_Date]]="",Table1[[#This Row],[Interview_Date]]=""),"",Table1[[#This Row],[Offer_Date]]-Table1[[#This Row],[Interview_Date]])</f>
        <v/>
      </c>
    </row>
    <row r="212" spans="1:2" x14ac:dyDescent="0.3">
      <c r="A212">
        <f>Table1[[#This Row],[Interview_Date]]-Table1[[#This Row],[Application_Date]]</f>
        <v>14</v>
      </c>
      <c r="B212">
        <f>IF(OR(Table1[[#This Row],[Offer_Date]]="",Table1[[#This Row],[Interview_Date]]=""),"",Table1[[#This Row],[Offer_Date]]-Table1[[#This Row],[Interview_Date]])</f>
        <v>5</v>
      </c>
    </row>
    <row r="213" spans="1:2" x14ac:dyDescent="0.3">
      <c r="A213">
        <f>Table1[[#This Row],[Interview_Date]]-Table1[[#This Row],[Application_Date]]</f>
        <v>11</v>
      </c>
      <c r="B213">
        <f>IF(OR(Table1[[#This Row],[Offer_Date]]="",Table1[[#This Row],[Interview_Date]]=""),"",Table1[[#This Row],[Offer_Date]]-Table1[[#This Row],[Interview_Date]])</f>
        <v>7</v>
      </c>
    </row>
    <row r="214" spans="1:2" x14ac:dyDescent="0.3">
      <c r="A214">
        <f>Table1[[#This Row],[Interview_Date]]-Table1[[#This Row],[Application_Date]]</f>
        <v>5</v>
      </c>
      <c r="B214" t="str">
        <f>IF(OR(Table1[[#This Row],[Offer_Date]]="",Table1[[#This Row],[Interview_Date]]=""),"",Table1[[#This Row],[Offer_Date]]-Table1[[#This Row],[Interview_Date]])</f>
        <v/>
      </c>
    </row>
    <row r="215" spans="1:2" x14ac:dyDescent="0.3">
      <c r="A215">
        <f>Table1[[#This Row],[Interview_Date]]-Table1[[#This Row],[Application_Date]]</f>
        <v>7</v>
      </c>
      <c r="B215">
        <f>IF(OR(Table1[[#This Row],[Offer_Date]]="",Table1[[#This Row],[Interview_Date]]=""),"",Table1[[#This Row],[Offer_Date]]-Table1[[#This Row],[Interview_Date]])</f>
        <v>6</v>
      </c>
    </row>
    <row r="216" spans="1:2" x14ac:dyDescent="0.3">
      <c r="A216">
        <f>Table1[[#This Row],[Interview_Date]]-Table1[[#This Row],[Application_Date]]</f>
        <v>9</v>
      </c>
      <c r="B216" t="str">
        <f>IF(OR(Table1[[#This Row],[Offer_Date]]="",Table1[[#This Row],[Interview_Date]]=""),"",Table1[[#This Row],[Offer_Date]]-Table1[[#This Row],[Interview_Date]])</f>
        <v/>
      </c>
    </row>
    <row r="217" spans="1:2" x14ac:dyDescent="0.3">
      <c r="A217">
        <f>Table1[[#This Row],[Interview_Date]]-Table1[[#This Row],[Application_Date]]</f>
        <v>7</v>
      </c>
      <c r="B217">
        <f>IF(OR(Table1[[#This Row],[Offer_Date]]="",Table1[[#This Row],[Interview_Date]]=""),"",Table1[[#This Row],[Offer_Date]]-Table1[[#This Row],[Interview_Date]])</f>
        <v>7</v>
      </c>
    </row>
    <row r="218" spans="1:2" x14ac:dyDescent="0.3">
      <c r="A218">
        <f>Table1[[#This Row],[Interview_Date]]-Table1[[#This Row],[Application_Date]]</f>
        <v>9</v>
      </c>
      <c r="B218" t="str">
        <f>IF(OR(Table1[[#This Row],[Offer_Date]]="",Table1[[#This Row],[Interview_Date]]=""),"",Table1[[#This Row],[Offer_Date]]-Table1[[#This Row],[Interview_Date]])</f>
        <v/>
      </c>
    </row>
    <row r="219" spans="1:2" x14ac:dyDescent="0.3">
      <c r="A219">
        <f>Table1[[#This Row],[Interview_Date]]-Table1[[#This Row],[Application_Date]]</f>
        <v>3</v>
      </c>
      <c r="B219" t="str">
        <f>IF(OR(Table1[[#This Row],[Offer_Date]]="",Table1[[#This Row],[Interview_Date]]=""),"",Table1[[#This Row],[Offer_Date]]-Table1[[#This Row],[Interview_Date]])</f>
        <v/>
      </c>
    </row>
    <row r="220" spans="1:2" x14ac:dyDescent="0.3">
      <c r="A220">
        <f>Table1[[#This Row],[Interview_Date]]-Table1[[#This Row],[Application_Date]]</f>
        <v>10</v>
      </c>
      <c r="B220" t="str">
        <f>IF(OR(Table1[[#This Row],[Offer_Date]]="",Table1[[#This Row],[Interview_Date]]=""),"",Table1[[#This Row],[Offer_Date]]-Table1[[#This Row],[Interview_Date]])</f>
        <v/>
      </c>
    </row>
    <row r="221" spans="1:2" x14ac:dyDescent="0.3">
      <c r="A221">
        <f>Table1[[#This Row],[Interview_Date]]-Table1[[#This Row],[Application_Date]]</f>
        <v>6</v>
      </c>
      <c r="B221">
        <f>IF(OR(Table1[[#This Row],[Offer_Date]]="",Table1[[#This Row],[Interview_Date]]=""),"",Table1[[#This Row],[Offer_Date]]-Table1[[#This Row],[Interview_Date]])</f>
        <v>4</v>
      </c>
    </row>
    <row r="222" spans="1:2" x14ac:dyDescent="0.3">
      <c r="A222">
        <f>Table1[[#This Row],[Interview_Date]]-Table1[[#This Row],[Application_Date]]</f>
        <v>4</v>
      </c>
      <c r="B222" t="str">
        <f>IF(OR(Table1[[#This Row],[Offer_Date]]="",Table1[[#This Row],[Interview_Date]]=""),"",Table1[[#This Row],[Offer_Date]]-Table1[[#This Row],[Interview_Date]])</f>
        <v/>
      </c>
    </row>
    <row r="223" spans="1:2" x14ac:dyDescent="0.3">
      <c r="A223">
        <f>Table1[[#This Row],[Interview_Date]]-Table1[[#This Row],[Application_Date]]</f>
        <v>3</v>
      </c>
      <c r="B223" t="str">
        <f>IF(OR(Table1[[#This Row],[Offer_Date]]="",Table1[[#This Row],[Interview_Date]]=""),"",Table1[[#This Row],[Offer_Date]]-Table1[[#This Row],[Interview_Date]])</f>
        <v/>
      </c>
    </row>
    <row r="224" spans="1:2" x14ac:dyDescent="0.3">
      <c r="A224">
        <f>Table1[[#This Row],[Interview_Date]]-Table1[[#This Row],[Application_Date]]</f>
        <v>15</v>
      </c>
      <c r="B224" t="str">
        <f>IF(OR(Table1[[#This Row],[Offer_Date]]="",Table1[[#This Row],[Interview_Date]]=""),"",Table1[[#This Row],[Offer_Date]]-Table1[[#This Row],[Interview_Date]])</f>
        <v/>
      </c>
    </row>
    <row r="225" spans="1:2" x14ac:dyDescent="0.3">
      <c r="A225">
        <f>Table1[[#This Row],[Interview_Date]]-Table1[[#This Row],[Application_Date]]</f>
        <v>6</v>
      </c>
      <c r="B225" t="str">
        <f>IF(OR(Table1[[#This Row],[Offer_Date]]="",Table1[[#This Row],[Interview_Date]]=""),"",Table1[[#This Row],[Offer_Date]]-Table1[[#This Row],[Interview_Date]])</f>
        <v/>
      </c>
    </row>
    <row r="226" spans="1:2" x14ac:dyDescent="0.3">
      <c r="A226">
        <f>Table1[[#This Row],[Interview_Date]]-Table1[[#This Row],[Application_Date]]</f>
        <v>3</v>
      </c>
      <c r="B226">
        <f>IF(OR(Table1[[#This Row],[Offer_Date]]="",Table1[[#This Row],[Interview_Date]]=""),"",Table1[[#This Row],[Offer_Date]]-Table1[[#This Row],[Interview_Date]])</f>
        <v>3</v>
      </c>
    </row>
    <row r="227" spans="1:2" x14ac:dyDescent="0.3">
      <c r="A227">
        <f>Table1[[#This Row],[Interview_Date]]-Table1[[#This Row],[Application_Date]]</f>
        <v>11</v>
      </c>
      <c r="B227" t="str">
        <f>IF(OR(Table1[[#This Row],[Offer_Date]]="",Table1[[#This Row],[Interview_Date]]=""),"",Table1[[#This Row],[Offer_Date]]-Table1[[#This Row],[Interview_Date]])</f>
        <v/>
      </c>
    </row>
    <row r="228" spans="1:2" x14ac:dyDescent="0.3">
      <c r="A228">
        <f>Table1[[#This Row],[Interview_Date]]-Table1[[#This Row],[Application_Date]]</f>
        <v>5</v>
      </c>
      <c r="B228">
        <f>IF(OR(Table1[[#This Row],[Offer_Date]]="",Table1[[#This Row],[Interview_Date]]=""),"",Table1[[#This Row],[Offer_Date]]-Table1[[#This Row],[Interview_Date]])</f>
        <v>4</v>
      </c>
    </row>
    <row r="229" spans="1:2" x14ac:dyDescent="0.3">
      <c r="A229">
        <f>Table1[[#This Row],[Interview_Date]]-Table1[[#This Row],[Application_Date]]</f>
        <v>13</v>
      </c>
      <c r="B229">
        <f>IF(OR(Table1[[#This Row],[Offer_Date]]="",Table1[[#This Row],[Interview_Date]]=""),"",Table1[[#This Row],[Offer_Date]]-Table1[[#This Row],[Interview_Date]])</f>
        <v>5</v>
      </c>
    </row>
    <row r="230" spans="1:2" x14ac:dyDescent="0.3">
      <c r="A230">
        <f>Table1[[#This Row],[Interview_Date]]-Table1[[#This Row],[Application_Date]]</f>
        <v>15</v>
      </c>
      <c r="B230" t="str">
        <f>IF(OR(Table1[[#This Row],[Offer_Date]]="",Table1[[#This Row],[Interview_Date]]=""),"",Table1[[#This Row],[Offer_Date]]-Table1[[#This Row],[Interview_Date]])</f>
        <v/>
      </c>
    </row>
    <row r="231" spans="1:2" x14ac:dyDescent="0.3">
      <c r="A231">
        <f>Table1[[#This Row],[Interview_Date]]-Table1[[#This Row],[Application_Date]]</f>
        <v>14</v>
      </c>
      <c r="B231" t="str">
        <f>IF(OR(Table1[[#This Row],[Offer_Date]]="",Table1[[#This Row],[Interview_Date]]=""),"",Table1[[#This Row],[Offer_Date]]-Table1[[#This Row],[Interview_Date]])</f>
        <v/>
      </c>
    </row>
    <row r="232" spans="1:2" x14ac:dyDescent="0.3">
      <c r="A232">
        <f>Table1[[#This Row],[Interview_Date]]-Table1[[#This Row],[Application_Date]]</f>
        <v>4</v>
      </c>
      <c r="B232">
        <f>IF(OR(Table1[[#This Row],[Offer_Date]]="",Table1[[#This Row],[Interview_Date]]=""),"",Table1[[#This Row],[Offer_Date]]-Table1[[#This Row],[Interview_Date]])</f>
        <v>4</v>
      </c>
    </row>
    <row r="233" spans="1:2" x14ac:dyDescent="0.3">
      <c r="A233">
        <f>Table1[[#This Row],[Interview_Date]]-Table1[[#This Row],[Application_Date]]</f>
        <v>6</v>
      </c>
      <c r="B233" t="str">
        <f>IF(OR(Table1[[#This Row],[Offer_Date]]="",Table1[[#This Row],[Interview_Date]]=""),"",Table1[[#This Row],[Offer_Date]]-Table1[[#This Row],[Interview_Date]])</f>
        <v/>
      </c>
    </row>
    <row r="234" spans="1:2" x14ac:dyDescent="0.3">
      <c r="A234">
        <f>Table1[[#This Row],[Interview_Date]]-Table1[[#This Row],[Application_Date]]</f>
        <v>10</v>
      </c>
      <c r="B234" t="str">
        <f>IF(OR(Table1[[#This Row],[Offer_Date]]="",Table1[[#This Row],[Interview_Date]]=""),"",Table1[[#This Row],[Offer_Date]]-Table1[[#This Row],[Interview_Date]])</f>
        <v/>
      </c>
    </row>
    <row r="235" spans="1:2" x14ac:dyDescent="0.3">
      <c r="A235">
        <f>Table1[[#This Row],[Interview_Date]]-Table1[[#This Row],[Application_Date]]</f>
        <v>11</v>
      </c>
      <c r="B235" t="str">
        <f>IF(OR(Table1[[#This Row],[Offer_Date]]="",Table1[[#This Row],[Interview_Date]]=""),"",Table1[[#This Row],[Offer_Date]]-Table1[[#This Row],[Interview_Date]])</f>
        <v/>
      </c>
    </row>
    <row r="236" spans="1:2" x14ac:dyDescent="0.3">
      <c r="A236">
        <f>Table1[[#This Row],[Interview_Date]]-Table1[[#This Row],[Application_Date]]</f>
        <v>9</v>
      </c>
      <c r="B236" t="str">
        <f>IF(OR(Table1[[#This Row],[Offer_Date]]="",Table1[[#This Row],[Interview_Date]]=""),"",Table1[[#This Row],[Offer_Date]]-Table1[[#This Row],[Interview_Date]])</f>
        <v/>
      </c>
    </row>
    <row r="237" spans="1:2" x14ac:dyDescent="0.3">
      <c r="A237">
        <f>Table1[[#This Row],[Interview_Date]]-Table1[[#This Row],[Application_Date]]</f>
        <v>9</v>
      </c>
      <c r="B237">
        <f>IF(OR(Table1[[#This Row],[Offer_Date]]="",Table1[[#This Row],[Interview_Date]]=""),"",Table1[[#This Row],[Offer_Date]]-Table1[[#This Row],[Interview_Date]])</f>
        <v>3</v>
      </c>
    </row>
    <row r="238" spans="1:2" x14ac:dyDescent="0.3">
      <c r="A238">
        <f>Table1[[#This Row],[Interview_Date]]-Table1[[#This Row],[Application_Date]]</f>
        <v>12</v>
      </c>
      <c r="B238" t="str">
        <f>IF(OR(Table1[[#This Row],[Offer_Date]]="",Table1[[#This Row],[Interview_Date]]=""),"",Table1[[#This Row],[Offer_Date]]-Table1[[#This Row],[Interview_Date]])</f>
        <v/>
      </c>
    </row>
    <row r="239" spans="1:2" x14ac:dyDescent="0.3">
      <c r="A239">
        <f>Table1[[#This Row],[Interview_Date]]-Table1[[#This Row],[Application_Date]]</f>
        <v>13</v>
      </c>
      <c r="B239" t="str">
        <f>IF(OR(Table1[[#This Row],[Offer_Date]]="",Table1[[#This Row],[Interview_Date]]=""),"",Table1[[#This Row],[Offer_Date]]-Table1[[#This Row],[Interview_Date]])</f>
        <v/>
      </c>
    </row>
    <row r="240" spans="1:2" x14ac:dyDescent="0.3">
      <c r="A240">
        <f>Table1[[#This Row],[Interview_Date]]-Table1[[#This Row],[Application_Date]]</f>
        <v>3</v>
      </c>
      <c r="B240">
        <f>IF(OR(Table1[[#This Row],[Offer_Date]]="",Table1[[#This Row],[Interview_Date]]=""),"",Table1[[#This Row],[Offer_Date]]-Table1[[#This Row],[Interview_Date]])</f>
        <v>5</v>
      </c>
    </row>
    <row r="241" spans="1:2" x14ac:dyDescent="0.3">
      <c r="A241">
        <f>Table1[[#This Row],[Interview_Date]]-Table1[[#This Row],[Application_Date]]</f>
        <v>10</v>
      </c>
      <c r="B241">
        <f>IF(OR(Table1[[#This Row],[Offer_Date]]="",Table1[[#This Row],[Interview_Date]]=""),"",Table1[[#This Row],[Offer_Date]]-Table1[[#This Row],[Interview_Date]])</f>
        <v>7</v>
      </c>
    </row>
    <row r="242" spans="1:2" x14ac:dyDescent="0.3">
      <c r="A242">
        <f>Table1[[#This Row],[Interview_Date]]-Table1[[#This Row],[Application_Date]]</f>
        <v>4</v>
      </c>
      <c r="B242">
        <f>IF(OR(Table1[[#This Row],[Offer_Date]]="",Table1[[#This Row],[Interview_Date]]=""),"",Table1[[#This Row],[Offer_Date]]-Table1[[#This Row],[Interview_Date]])</f>
        <v>3</v>
      </c>
    </row>
    <row r="243" spans="1:2" x14ac:dyDescent="0.3">
      <c r="A243">
        <f>Table1[[#This Row],[Interview_Date]]-Table1[[#This Row],[Application_Date]]</f>
        <v>13</v>
      </c>
      <c r="B243" t="str">
        <f>IF(OR(Table1[[#This Row],[Offer_Date]]="",Table1[[#This Row],[Interview_Date]]=""),"",Table1[[#This Row],[Offer_Date]]-Table1[[#This Row],[Interview_Date]])</f>
        <v/>
      </c>
    </row>
    <row r="244" spans="1:2" x14ac:dyDescent="0.3">
      <c r="A244">
        <f>Table1[[#This Row],[Interview_Date]]-Table1[[#This Row],[Application_Date]]</f>
        <v>5</v>
      </c>
      <c r="B244">
        <f>IF(OR(Table1[[#This Row],[Offer_Date]]="",Table1[[#This Row],[Interview_Date]]=""),"",Table1[[#This Row],[Offer_Date]]-Table1[[#This Row],[Interview_Date]])</f>
        <v>7</v>
      </c>
    </row>
    <row r="245" spans="1:2" x14ac:dyDescent="0.3">
      <c r="A245">
        <f>Table1[[#This Row],[Interview_Date]]-Table1[[#This Row],[Application_Date]]</f>
        <v>11</v>
      </c>
      <c r="B245" t="str">
        <f>IF(OR(Table1[[#This Row],[Offer_Date]]="",Table1[[#This Row],[Interview_Date]]=""),"",Table1[[#This Row],[Offer_Date]]-Table1[[#This Row],[Interview_Date]])</f>
        <v/>
      </c>
    </row>
    <row r="246" spans="1:2" x14ac:dyDescent="0.3">
      <c r="A246">
        <f>Table1[[#This Row],[Interview_Date]]-Table1[[#This Row],[Application_Date]]</f>
        <v>15</v>
      </c>
      <c r="B246">
        <f>IF(OR(Table1[[#This Row],[Offer_Date]]="",Table1[[#This Row],[Interview_Date]]=""),"",Table1[[#This Row],[Offer_Date]]-Table1[[#This Row],[Interview_Date]])</f>
        <v>6</v>
      </c>
    </row>
    <row r="247" spans="1:2" x14ac:dyDescent="0.3">
      <c r="A247">
        <f>Table1[[#This Row],[Interview_Date]]-Table1[[#This Row],[Application_Date]]</f>
        <v>12</v>
      </c>
      <c r="B247">
        <f>IF(OR(Table1[[#This Row],[Offer_Date]]="",Table1[[#This Row],[Interview_Date]]=""),"",Table1[[#This Row],[Offer_Date]]-Table1[[#This Row],[Interview_Date]])</f>
        <v>2</v>
      </c>
    </row>
    <row r="248" spans="1:2" x14ac:dyDescent="0.3">
      <c r="A248">
        <f>Table1[[#This Row],[Interview_Date]]-Table1[[#This Row],[Application_Date]]</f>
        <v>9</v>
      </c>
      <c r="B248" t="str">
        <f>IF(OR(Table1[[#This Row],[Offer_Date]]="",Table1[[#This Row],[Interview_Date]]=""),"",Table1[[#This Row],[Offer_Date]]-Table1[[#This Row],[Interview_Date]])</f>
        <v/>
      </c>
    </row>
    <row r="249" spans="1:2" x14ac:dyDescent="0.3">
      <c r="A249">
        <f>Table1[[#This Row],[Interview_Date]]-Table1[[#This Row],[Application_Date]]</f>
        <v>13</v>
      </c>
      <c r="B249" t="str">
        <f>IF(OR(Table1[[#This Row],[Offer_Date]]="",Table1[[#This Row],[Interview_Date]]=""),"",Table1[[#This Row],[Offer_Date]]-Table1[[#This Row],[Interview_Date]])</f>
        <v/>
      </c>
    </row>
    <row r="250" spans="1:2" x14ac:dyDescent="0.3">
      <c r="A250">
        <f>Table1[[#This Row],[Interview_Date]]-Table1[[#This Row],[Application_Date]]</f>
        <v>13</v>
      </c>
      <c r="B250">
        <f>IF(OR(Table1[[#This Row],[Offer_Date]]="",Table1[[#This Row],[Interview_Date]]=""),"",Table1[[#This Row],[Offer_Date]]-Table1[[#This Row],[Interview_Date]])</f>
        <v>5</v>
      </c>
    </row>
    <row r="251" spans="1:2" x14ac:dyDescent="0.3">
      <c r="A251">
        <f>Table1[[#This Row],[Interview_Date]]-Table1[[#This Row],[Application_Date]]</f>
        <v>10</v>
      </c>
      <c r="B251">
        <f>IF(OR(Table1[[#This Row],[Offer_Date]]="",Table1[[#This Row],[Interview_Date]]=""),"",Table1[[#This Row],[Offer_Date]]-Table1[[#This Row],[Interview_Date]])</f>
        <v>5</v>
      </c>
    </row>
    <row r="252" spans="1:2" x14ac:dyDescent="0.3">
      <c r="A252">
        <f>Table1[[#This Row],[Interview_Date]]-Table1[[#This Row],[Application_Date]]</f>
        <v>4</v>
      </c>
      <c r="B252" t="str">
        <f>IF(OR(Table1[[#This Row],[Offer_Date]]="",Table1[[#This Row],[Interview_Date]]=""),"",Table1[[#This Row],[Offer_Date]]-Table1[[#This Row],[Interview_Date]])</f>
        <v/>
      </c>
    </row>
    <row r="253" spans="1:2" x14ac:dyDescent="0.3">
      <c r="A253">
        <f>Table1[[#This Row],[Interview_Date]]-Table1[[#This Row],[Application_Date]]</f>
        <v>3</v>
      </c>
      <c r="B253" t="str">
        <f>IF(OR(Table1[[#This Row],[Offer_Date]]="",Table1[[#This Row],[Interview_Date]]=""),"",Table1[[#This Row],[Offer_Date]]-Table1[[#This Row],[Interview_Date]])</f>
        <v/>
      </c>
    </row>
    <row r="254" spans="1:2" x14ac:dyDescent="0.3">
      <c r="A254">
        <f>Table1[[#This Row],[Interview_Date]]-Table1[[#This Row],[Application_Date]]</f>
        <v>4</v>
      </c>
      <c r="B254" t="str">
        <f>IF(OR(Table1[[#This Row],[Offer_Date]]="",Table1[[#This Row],[Interview_Date]]=""),"",Table1[[#This Row],[Offer_Date]]-Table1[[#This Row],[Interview_Date]])</f>
        <v/>
      </c>
    </row>
    <row r="255" spans="1:2" x14ac:dyDescent="0.3">
      <c r="A255">
        <f>Table1[[#This Row],[Interview_Date]]-Table1[[#This Row],[Application_Date]]</f>
        <v>8</v>
      </c>
      <c r="B255">
        <f>IF(OR(Table1[[#This Row],[Offer_Date]]="",Table1[[#This Row],[Interview_Date]]=""),"",Table1[[#This Row],[Offer_Date]]-Table1[[#This Row],[Interview_Date]])</f>
        <v>4</v>
      </c>
    </row>
    <row r="256" spans="1:2" x14ac:dyDescent="0.3">
      <c r="A256">
        <f>Table1[[#This Row],[Interview_Date]]-Table1[[#This Row],[Application_Date]]</f>
        <v>6</v>
      </c>
      <c r="B256">
        <f>IF(OR(Table1[[#This Row],[Offer_Date]]="",Table1[[#This Row],[Interview_Date]]=""),"",Table1[[#This Row],[Offer_Date]]-Table1[[#This Row],[Interview_Date]])</f>
        <v>6</v>
      </c>
    </row>
    <row r="257" spans="1:2" x14ac:dyDescent="0.3">
      <c r="A257">
        <f>Table1[[#This Row],[Interview_Date]]-Table1[[#This Row],[Application_Date]]</f>
        <v>14</v>
      </c>
      <c r="B257" t="str">
        <f>IF(OR(Table1[[#This Row],[Offer_Date]]="",Table1[[#This Row],[Interview_Date]]=""),"",Table1[[#This Row],[Offer_Date]]-Table1[[#This Row],[Interview_Date]])</f>
        <v/>
      </c>
    </row>
    <row r="258" spans="1:2" x14ac:dyDescent="0.3">
      <c r="A258">
        <f>Table1[[#This Row],[Interview_Date]]-Table1[[#This Row],[Application_Date]]</f>
        <v>13</v>
      </c>
      <c r="B258">
        <f>IF(OR(Table1[[#This Row],[Offer_Date]]="",Table1[[#This Row],[Interview_Date]]=""),"",Table1[[#This Row],[Offer_Date]]-Table1[[#This Row],[Interview_Date]])</f>
        <v>5</v>
      </c>
    </row>
    <row r="259" spans="1:2" x14ac:dyDescent="0.3">
      <c r="A259">
        <f>Table1[[#This Row],[Interview_Date]]-Table1[[#This Row],[Application_Date]]</f>
        <v>13</v>
      </c>
      <c r="B259" t="str">
        <f>IF(OR(Table1[[#This Row],[Offer_Date]]="",Table1[[#This Row],[Interview_Date]]=""),"",Table1[[#This Row],[Offer_Date]]-Table1[[#This Row],[Interview_Date]])</f>
        <v/>
      </c>
    </row>
    <row r="260" spans="1:2" x14ac:dyDescent="0.3">
      <c r="A260">
        <f>Table1[[#This Row],[Interview_Date]]-Table1[[#This Row],[Application_Date]]</f>
        <v>8</v>
      </c>
      <c r="B260">
        <f>IF(OR(Table1[[#This Row],[Offer_Date]]="",Table1[[#This Row],[Interview_Date]]=""),"",Table1[[#This Row],[Offer_Date]]-Table1[[#This Row],[Interview_Date]])</f>
        <v>3</v>
      </c>
    </row>
    <row r="261" spans="1:2" x14ac:dyDescent="0.3">
      <c r="A261">
        <f>Table1[[#This Row],[Interview_Date]]-Table1[[#This Row],[Application_Date]]</f>
        <v>14</v>
      </c>
      <c r="B261">
        <f>IF(OR(Table1[[#This Row],[Offer_Date]]="",Table1[[#This Row],[Interview_Date]]=""),"",Table1[[#This Row],[Offer_Date]]-Table1[[#This Row],[Interview_Date]])</f>
        <v>4</v>
      </c>
    </row>
    <row r="262" spans="1:2" x14ac:dyDescent="0.3">
      <c r="A262">
        <f>Table1[[#This Row],[Interview_Date]]-Table1[[#This Row],[Application_Date]]</f>
        <v>8</v>
      </c>
      <c r="B262" t="str">
        <f>IF(OR(Table1[[#This Row],[Offer_Date]]="",Table1[[#This Row],[Interview_Date]]=""),"",Table1[[#This Row],[Offer_Date]]-Table1[[#This Row],[Interview_Date]])</f>
        <v/>
      </c>
    </row>
    <row r="263" spans="1:2" x14ac:dyDescent="0.3">
      <c r="A263">
        <f>Table1[[#This Row],[Interview_Date]]-Table1[[#This Row],[Application_Date]]</f>
        <v>9</v>
      </c>
      <c r="B263">
        <f>IF(OR(Table1[[#This Row],[Offer_Date]]="",Table1[[#This Row],[Interview_Date]]=""),"",Table1[[#This Row],[Offer_Date]]-Table1[[#This Row],[Interview_Date]])</f>
        <v>2</v>
      </c>
    </row>
    <row r="264" spans="1:2" x14ac:dyDescent="0.3">
      <c r="A264">
        <f>Table1[[#This Row],[Interview_Date]]-Table1[[#This Row],[Application_Date]]</f>
        <v>5</v>
      </c>
      <c r="B264" t="str">
        <f>IF(OR(Table1[[#This Row],[Offer_Date]]="",Table1[[#This Row],[Interview_Date]]=""),"",Table1[[#This Row],[Offer_Date]]-Table1[[#This Row],[Interview_Date]])</f>
        <v/>
      </c>
    </row>
    <row r="265" spans="1:2" x14ac:dyDescent="0.3">
      <c r="A265">
        <f>Table1[[#This Row],[Interview_Date]]-Table1[[#This Row],[Application_Date]]</f>
        <v>13</v>
      </c>
      <c r="B265">
        <f>IF(OR(Table1[[#This Row],[Offer_Date]]="",Table1[[#This Row],[Interview_Date]]=""),"",Table1[[#This Row],[Offer_Date]]-Table1[[#This Row],[Interview_Date]])</f>
        <v>3</v>
      </c>
    </row>
    <row r="266" spans="1:2" x14ac:dyDescent="0.3">
      <c r="A266">
        <f>Table1[[#This Row],[Interview_Date]]-Table1[[#This Row],[Application_Date]]</f>
        <v>7</v>
      </c>
      <c r="B266" t="str">
        <f>IF(OR(Table1[[#This Row],[Offer_Date]]="",Table1[[#This Row],[Interview_Date]]=""),"",Table1[[#This Row],[Offer_Date]]-Table1[[#This Row],[Interview_Date]])</f>
        <v/>
      </c>
    </row>
    <row r="267" spans="1:2" x14ac:dyDescent="0.3">
      <c r="A267">
        <f>Table1[[#This Row],[Interview_Date]]-Table1[[#This Row],[Application_Date]]</f>
        <v>13</v>
      </c>
      <c r="B267">
        <f>IF(OR(Table1[[#This Row],[Offer_Date]]="",Table1[[#This Row],[Interview_Date]]=""),"",Table1[[#This Row],[Offer_Date]]-Table1[[#This Row],[Interview_Date]])</f>
        <v>5</v>
      </c>
    </row>
    <row r="268" spans="1:2" x14ac:dyDescent="0.3">
      <c r="A268">
        <f>Table1[[#This Row],[Interview_Date]]-Table1[[#This Row],[Application_Date]]</f>
        <v>15</v>
      </c>
      <c r="B268" t="str">
        <f>IF(OR(Table1[[#This Row],[Offer_Date]]="",Table1[[#This Row],[Interview_Date]]=""),"",Table1[[#This Row],[Offer_Date]]-Table1[[#This Row],[Interview_Date]])</f>
        <v/>
      </c>
    </row>
    <row r="269" spans="1:2" x14ac:dyDescent="0.3">
      <c r="A269">
        <f>Table1[[#This Row],[Interview_Date]]-Table1[[#This Row],[Application_Date]]</f>
        <v>4</v>
      </c>
      <c r="B269" t="str">
        <f>IF(OR(Table1[[#This Row],[Offer_Date]]="",Table1[[#This Row],[Interview_Date]]=""),"",Table1[[#This Row],[Offer_Date]]-Table1[[#This Row],[Interview_Date]])</f>
        <v/>
      </c>
    </row>
    <row r="270" spans="1:2" x14ac:dyDescent="0.3">
      <c r="A270">
        <f>Table1[[#This Row],[Interview_Date]]-Table1[[#This Row],[Application_Date]]</f>
        <v>10</v>
      </c>
      <c r="B270">
        <f>IF(OR(Table1[[#This Row],[Offer_Date]]="",Table1[[#This Row],[Interview_Date]]=""),"",Table1[[#This Row],[Offer_Date]]-Table1[[#This Row],[Interview_Date]])</f>
        <v>2</v>
      </c>
    </row>
    <row r="271" spans="1:2" x14ac:dyDescent="0.3">
      <c r="A271">
        <f>Table1[[#This Row],[Interview_Date]]-Table1[[#This Row],[Application_Date]]</f>
        <v>8</v>
      </c>
      <c r="B271">
        <f>IF(OR(Table1[[#This Row],[Offer_Date]]="",Table1[[#This Row],[Interview_Date]]=""),"",Table1[[#This Row],[Offer_Date]]-Table1[[#This Row],[Interview_Date]])</f>
        <v>7</v>
      </c>
    </row>
    <row r="272" spans="1:2" x14ac:dyDescent="0.3">
      <c r="A272">
        <f>Table1[[#This Row],[Interview_Date]]-Table1[[#This Row],[Application_Date]]</f>
        <v>11</v>
      </c>
      <c r="B272">
        <f>IF(OR(Table1[[#This Row],[Offer_Date]]="",Table1[[#This Row],[Interview_Date]]=""),"",Table1[[#This Row],[Offer_Date]]-Table1[[#This Row],[Interview_Date]])</f>
        <v>2</v>
      </c>
    </row>
    <row r="273" spans="1:2" x14ac:dyDescent="0.3">
      <c r="A273">
        <f>Table1[[#This Row],[Interview_Date]]-Table1[[#This Row],[Application_Date]]</f>
        <v>12</v>
      </c>
      <c r="B273" t="str">
        <f>IF(OR(Table1[[#This Row],[Offer_Date]]="",Table1[[#This Row],[Interview_Date]]=""),"",Table1[[#This Row],[Offer_Date]]-Table1[[#This Row],[Interview_Date]])</f>
        <v/>
      </c>
    </row>
    <row r="274" spans="1:2" x14ac:dyDescent="0.3">
      <c r="A274">
        <f>Table1[[#This Row],[Interview_Date]]-Table1[[#This Row],[Application_Date]]</f>
        <v>15</v>
      </c>
      <c r="B274" t="str">
        <f>IF(OR(Table1[[#This Row],[Offer_Date]]="",Table1[[#This Row],[Interview_Date]]=""),"",Table1[[#This Row],[Offer_Date]]-Table1[[#This Row],[Interview_Date]])</f>
        <v/>
      </c>
    </row>
    <row r="275" spans="1:2" x14ac:dyDescent="0.3">
      <c r="A275">
        <f>Table1[[#This Row],[Interview_Date]]-Table1[[#This Row],[Application_Date]]</f>
        <v>14</v>
      </c>
      <c r="B275" t="str">
        <f>IF(OR(Table1[[#This Row],[Offer_Date]]="",Table1[[#This Row],[Interview_Date]]=""),"",Table1[[#This Row],[Offer_Date]]-Table1[[#This Row],[Interview_Date]])</f>
        <v/>
      </c>
    </row>
    <row r="276" spans="1:2" x14ac:dyDescent="0.3">
      <c r="A276">
        <f>Table1[[#This Row],[Interview_Date]]-Table1[[#This Row],[Application_Date]]</f>
        <v>13</v>
      </c>
      <c r="B276">
        <f>IF(OR(Table1[[#This Row],[Offer_Date]]="",Table1[[#This Row],[Interview_Date]]=""),"",Table1[[#This Row],[Offer_Date]]-Table1[[#This Row],[Interview_Date]])</f>
        <v>6</v>
      </c>
    </row>
    <row r="277" spans="1:2" x14ac:dyDescent="0.3">
      <c r="A277">
        <f>Table1[[#This Row],[Interview_Date]]-Table1[[#This Row],[Application_Date]]</f>
        <v>10</v>
      </c>
      <c r="B277" t="str">
        <f>IF(OR(Table1[[#This Row],[Offer_Date]]="",Table1[[#This Row],[Interview_Date]]=""),"",Table1[[#This Row],[Offer_Date]]-Table1[[#This Row],[Interview_Date]])</f>
        <v/>
      </c>
    </row>
    <row r="278" spans="1:2" x14ac:dyDescent="0.3">
      <c r="A278">
        <f>Table1[[#This Row],[Interview_Date]]-Table1[[#This Row],[Application_Date]]</f>
        <v>4</v>
      </c>
      <c r="B278" t="str">
        <f>IF(OR(Table1[[#This Row],[Offer_Date]]="",Table1[[#This Row],[Interview_Date]]=""),"",Table1[[#This Row],[Offer_Date]]-Table1[[#This Row],[Interview_Date]])</f>
        <v/>
      </c>
    </row>
    <row r="279" spans="1:2" x14ac:dyDescent="0.3">
      <c r="A279">
        <f>Table1[[#This Row],[Interview_Date]]-Table1[[#This Row],[Application_Date]]</f>
        <v>11</v>
      </c>
      <c r="B279">
        <f>IF(OR(Table1[[#This Row],[Offer_Date]]="",Table1[[#This Row],[Interview_Date]]=""),"",Table1[[#This Row],[Offer_Date]]-Table1[[#This Row],[Interview_Date]])</f>
        <v>2</v>
      </c>
    </row>
    <row r="280" spans="1:2" x14ac:dyDescent="0.3">
      <c r="A280">
        <f>Table1[[#This Row],[Interview_Date]]-Table1[[#This Row],[Application_Date]]</f>
        <v>12</v>
      </c>
      <c r="B280" t="str">
        <f>IF(OR(Table1[[#This Row],[Offer_Date]]="",Table1[[#This Row],[Interview_Date]]=""),"",Table1[[#This Row],[Offer_Date]]-Table1[[#This Row],[Interview_Date]])</f>
        <v/>
      </c>
    </row>
    <row r="281" spans="1:2" x14ac:dyDescent="0.3">
      <c r="A281">
        <f>Table1[[#This Row],[Interview_Date]]-Table1[[#This Row],[Application_Date]]</f>
        <v>6</v>
      </c>
      <c r="B281">
        <f>IF(OR(Table1[[#This Row],[Offer_Date]]="",Table1[[#This Row],[Interview_Date]]=""),"",Table1[[#This Row],[Offer_Date]]-Table1[[#This Row],[Interview_Date]])</f>
        <v>4</v>
      </c>
    </row>
    <row r="282" spans="1:2" x14ac:dyDescent="0.3">
      <c r="A282">
        <f>Table1[[#This Row],[Interview_Date]]-Table1[[#This Row],[Application_Date]]</f>
        <v>4</v>
      </c>
      <c r="B282" t="str">
        <f>IF(OR(Table1[[#This Row],[Offer_Date]]="",Table1[[#This Row],[Interview_Date]]=""),"",Table1[[#This Row],[Offer_Date]]-Table1[[#This Row],[Interview_Date]])</f>
        <v/>
      </c>
    </row>
    <row r="283" spans="1:2" x14ac:dyDescent="0.3">
      <c r="A283">
        <f>Table1[[#This Row],[Interview_Date]]-Table1[[#This Row],[Application_Date]]</f>
        <v>11</v>
      </c>
      <c r="B283" t="str">
        <f>IF(OR(Table1[[#This Row],[Offer_Date]]="",Table1[[#This Row],[Interview_Date]]=""),"",Table1[[#This Row],[Offer_Date]]-Table1[[#This Row],[Interview_Date]])</f>
        <v/>
      </c>
    </row>
    <row r="284" spans="1:2" x14ac:dyDescent="0.3">
      <c r="A284">
        <f>Table1[[#This Row],[Interview_Date]]-Table1[[#This Row],[Application_Date]]</f>
        <v>5</v>
      </c>
      <c r="B284">
        <f>IF(OR(Table1[[#This Row],[Offer_Date]]="",Table1[[#This Row],[Interview_Date]]=""),"",Table1[[#This Row],[Offer_Date]]-Table1[[#This Row],[Interview_Date]])</f>
        <v>2</v>
      </c>
    </row>
    <row r="285" spans="1:2" x14ac:dyDescent="0.3">
      <c r="A285">
        <f>Table1[[#This Row],[Interview_Date]]-Table1[[#This Row],[Application_Date]]</f>
        <v>6</v>
      </c>
      <c r="B285">
        <f>IF(OR(Table1[[#This Row],[Offer_Date]]="",Table1[[#This Row],[Interview_Date]]=""),"",Table1[[#This Row],[Offer_Date]]-Table1[[#This Row],[Interview_Date]])</f>
        <v>5</v>
      </c>
    </row>
    <row r="286" spans="1:2" x14ac:dyDescent="0.3">
      <c r="A286">
        <f>Table1[[#This Row],[Interview_Date]]-Table1[[#This Row],[Application_Date]]</f>
        <v>13</v>
      </c>
      <c r="B286">
        <f>IF(OR(Table1[[#This Row],[Offer_Date]]="",Table1[[#This Row],[Interview_Date]]=""),"",Table1[[#This Row],[Offer_Date]]-Table1[[#This Row],[Interview_Date]])</f>
        <v>4</v>
      </c>
    </row>
    <row r="287" spans="1:2" x14ac:dyDescent="0.3">
      <c r="A287">
        <f>Table1[[#This Row],[Interview_Date]]-Table1[[#This Row],[Application_Date]]</f>
        <v>11</v>
      </c>
      <c r="B287">
        <f>IF(OR(Table1[[#This Row],[Offer_Date]]="",Table1[[#This Row],[Interview_Date]]=""),"",Table1[[#This Row],[Offer_Date]]-Table1[[#This Row],[Interview_Date]])</f>
        <v>7</v>
      </c>
    </row>
    <row r="288" spans="1:2" x14ac:dyDescent="0.3">
      <c r="A288">
        <f>Table1[[#This Row],[Interview_Date]]-Table1[[#This Row],[Application_Date]]</f>
        <v>8</v>
      </c>
      <c r="B288">
        <f>IF(OR(Table1[[#This Row],[Offer_Date]]="",Table1[[#This Row],[Interview_Date]]=""),"",Table1[[#This Row],[Offer_Date]]-Table1[[#This Row],[Interview_Date]])</f>
        <v>2</v>
      </c>
    </row>
    <row r="289" spans="1:2" x14ac:dyDescent="0.3">
      <c r="A289">
        <f>Table1[[#This Row],[Interview_Date]]-Table1[[#This Row],[Application_Date]]</f>
        <v>13</v>
      </c>
      <c r="B289">
        <f>IF(OR(Table1[[#This Row],[Offer_Date]]="",Table1[[#This Row],[Interview_Date]]=""),"",Table1[[#This Row],[Offer_Date]]-Table1[[#This Row],[Interview_Date]])</f>
        <v>4</v>
      </c>
    </row>
    <row r="290" spans="1:2" x14ac:dyDescent="0.3">
      <c r="A290">
        <f>Table1[[#This Row],[Interview_Date]]-Table1[[#This Row],[Application_Date]]</f>
        <v>14</v>
      </c>
      <c r="B290">
        <f>IF(OR(Table1[[#This Row],[Offer_Date]]="",Table1[[#This Row],[Interview_Date]]=""),"",Table1[[#This Row],[Offer_Date]]-Table1[[#This Row],[Interview_Date]])</f>
        <v>3</v>
      </c>
    </row>
    <row r="291" spans="1:2" x14ac:dyDescent="0.3">
      <c r="A291">
        <f>Table1[[#This Row],[Interview_Date]]-Table1[[#This Row],[Application_Date]]</f>
        <v>8</v>
      </c>
      <c r="B291">
        <f>IF(OR(Table1[[#This Row],[Offer_Date]]="",Table1[[#This Row],[Interview_Date]]=""),"",Table1[[#This Row],[Offer_Date]]-Table1[[#This Row],[Interview_Date]])</f>
        <v>3</v>
      </c>
    </row>
    <row r="292" spans="1:2" x14ac:dyDescent="0.3">
      <c r="A292">
        <f>Table1[[#This Row],[Interview_Date]]-Table1[[#This Row],[Application_Date]]</f>
        <v>13</v>
      </c>
      <c r="B292" t="str">
        <f>IF(OR(Table1[[#This Row],[Offer_Date]]="",Table1[[#This Row],[Interview_Date]]=""),"",Table1[[#This Row],[Offer_Date]]-Table1[[#This Row],[Interview_Date]])</f>
        <v/>
      </c>
    </row>
    <row r="293" spans="1:2" x14ac:dyDescent="0.3">
      <c r="A293">
        <f>Table1[[#This Row],[Interview_Date]]-Table1[[#This Row],[Application_Date]]</f>
        <v>15</v>
      </c>
      <c r="B293">
        <f>IF(OR(Table1[[#This Row],[Offer_Date]]="",Table1[[#This Row],[Interview_Date]]=""),"",Table1[[#This Row],[Offer_Date]]-Table1[[#This Row],[Interview_Date]])</f>
        <v>7</v>
      </c>
    </row>
    <row r="294" spans="1:2" x14ac:dyDescent="0.3">
      <c r="A294">
        <f>Table1[[#This Row],[Interview_Date]]-Table1[[#This Row],[Application_Date]]</f>
        <v>14</v>
      </c>
      <c r="B294">
        <f>IF(OR(Table1[[#This Row],[Offer_Date]]="",Table1[[#This Row],[Interview_Date]]=""),"",Table1[[#This Row],[Offer_Date]]-Table1[[#This Row],[Interview_Date]])</f>
        <v>4</v>
      </c>
    </row>
    <row r="295" spans="1:2" x14ac:dyDescent="0.3">
      <c r="A295">
        <f>Table1[[#This Row],[Interview_Date]]-Table1[[#This Row],[Application_Date]]</f>
        <v>8</v>
      </c>
      <c r="B295" t="str">
        <f>IF(OR(Table1[[#This Row],[Offer_Date]]="",Table1[[#This Row],[Interview_Date]]=""),"",Table1[[#This Row],[Offer_Date]]-Table1[[#This Row],[Interview_Date]])</f>
        <v/>
      </c>
    </row>
    <row r="296" spans="1:2" x14ac:dyDescent="0.3">
      <c r="A296">
        <f>Table1[[#This Row],[Interview_Date]]-Table1[[#This Row],[Application_Date]]</f>
        <v>13</v>
      </c>
      <c r="B296" t="str">
        <f>IF(OR(Table1[[#This Row],[Offer_Date]]="",Table1[[#This Row],[Interview_Date]]=""),"",Table1[[#This Row],[Offer_Date]]-Table1[[#This Row],[Interview_Date]])</f>
        <v/>
      </c>
    </row>
    <row r="297" spans="1:2" x14ac:dyDescent="0.3">
      <c r="A297">
        <f>Table1[[#This Row],[Interview_Date]]-Table1[[#This Row],[Application_Date]]</f>
        <v>14</v>
      </c>
      <c r="B297" t="str">
        <f>IF(OR(Table1[[#This Row],[Offer_Date]]="",Table1[[#This Row],[Interview_Date]]=""),"",Table1[[#This Row],[Offer_Date]]-Table1[[#This Row],[Interview_Date]])</f>
        <v/>
      </c>
    </row>
    <row r="298" spans="1:2" x14ac:dyDescent="0.3">
      <c r="A298">
        <f>Table1[[#This Row],[Interview_Date]]-Table1[[#This Row],[Application_Date]]</f>
        <v>12</v>
      </c>
      <c r="B298" t="str">
        <f>IF(OR(Table1[[#This Row],[Offer_Date]]="",Table1[[#This Row],[Interview_Date]]=""),"",Table1[[#This Row],[Offer_Date]]-Table1[[#This Row],[Interview_Date]])</f>
        <v/>
      </c>
    </row>
    <row r="299" spans="1:2" x14ac:dyDescent="0.3">
      <c r="A299">
        <f>Table1[[#This Row],[Interview_Date]]-Table1[[#This Row],[Application_Date]]</f>
        <v>3</v>
      </c>
      <c r="B299">
        <f>IF(OR(Table1[[#This Row],[Offer_Date]]="",Table1[[#This Row],[Interview_Date]]=""),"",Table1[[#This Row],[Offer_Date]]-Table1[[#This Row],[Interview_Date]])</f>
        <v>5</v>
      </c>
    </row>
    <row r="300" spans="1:2" x14ac:dyDescent="0.3">
      <c r="A300">
        <f>Table1[[#This Row],[Interview_Date]]-Table1[[#This Row],[Application_Date]]</f>
        <v>12</v>
      </c>
      <c r="B300" t="str">
        <f>IF(OR(Table1[[#This Row],[Offer_Date]]="",Table1[[#This Row],[Interview_Date]]=""),"",Table1[[#This Row],[Offer_Date]]-Table1[[#This Row],[Interview_Date]])</f>
        <v/>
      </c>
    </row>
    <row r="301" spans="1:2" x14ac:dyDescent="0.3">
      <c r="A301">
        <f>Table1[[#This Row],[Interview_Date]]-Table1[[#This Row],[Application_Date]]</f>
        <v>10</v>
      </c>
      <c r="B301" t="str">
        <f>IF(OR(Table1[[#This Row],[Offer_Date]]="",Table1[[#This Row],[Interview_Date]]=""),"",Table1[[#This Row],[Offer_Date]]-Table1[[#This Row],[Interview_Date]])</f>
        <v/>
      </c>
    </row>
    <row r="302" spans="1:2" x14ac:dyDescent="0.3">
      <c r="A302">
        <f>Table1[[#This Row],[Interview_Date]]-Table1[[#This Row],[Application_Date]]</f>
        <v>12</v>
      </c>
      <c r="B302">
        <f>IF(OR(Table1[[#This Row],[Offer_Date]]="",Table1[[#This Row],[Interview_Date]]=""),"",Table1[[#This Row],[Offer_Date]]-Table1[[#This Row],[Interview_Date]])</f>
        <v>7</v>
      </c>
    </row>
    <row r="303" spans="1:2" x14ac:dyDescent="0.3">
      <c r="A303">
        <f>Table1[[#This Row],[Interview_Date]]-Table1[[#This Row],[Application_Date]]</f>
        <v>9</v>
      </c>
      <c r="B303" t="str">
        <f>IF(OR(Table1[[#This Row],[Offer_Date]]="",Table1[[#This Row],[Interview_Date]]=""),"",Table1[[#This Row],[Offer_Date]]-Table1[[#This Row],[Interview_Date]])</f>
        <v/>
      </c>
    </row>
    <row r="304" spans="1:2" x14ac:dyDescent="0.3">
      <c r="A304">
        <f>Table1[[#This Row],[Interview_Date]]-Table1[[#This Row],[Application_Date]]</f>
        <v>13</v>
      </c>
      <c r="B304">
        <f>IF(OR(Table1[[#This Row],[Offer_Date]]="",Table1[[#This Row],[Interview_Date]]=""),"",Table1[[#This Row],[Offer_Date]]-Table1[[#This Row],[Interview_Date]])</f>
        <v>6</v>
      </c>
    </row>
    <row r="305" spans="1:2" x14ac:dyDescent="0.3">
      <c r="A305">
        <f>Table1[[#This Row],[Interview_Date]]-Table1[[#This Row],[Application_Date]]</f>
        <v>3</v>
      </c>
      <c r="B305">
        <f>IF(OR(Table1[[#This Row],[Offer_Date]]="",Table1[[#This Row],[Interview_Date]]=""),"",Table1[[#This Row],[Offer_Date]]-Table1[[#This Row],[Interview_Date]])</f>
        <v>6</v>
      </c>
    </row>
    <row r="306" spans="1:2" x14ac:dyDescent="0.3">
      <c r="A306">
        <f>Table1[[#This Row],[Interview_Date]]-Table1[[#This Row],[Application_Date]]</f>
        <v>14</v>
      </c>
      <c r="B306" t="str">
        <f>IF(OR(Table1[[#This Row],[Offer_Date]]="",Table1[[#This Row],[Interview_Date]]=""),"",Table1[[#This Row],[Offer_Date]]-Table1[[#This Row],[Interview_Date]])</f>
        <v/>
      </c>
    </row>
    <row r="307" spans="1:2" x14ac:dyDescent="0.3">
      <c r="A307">
        <f>Table1[[#This Row],[Interview_Date]]-Table1[[#This Row],[Application_Date]]</f>
        <v>4</v>
      </c>
      <c r="B307">
        <f>IF(OR(Table1[[#This Row],[Offer_Date]]="",Table1[[#This Row],[Interview_Date]]=""),"",Table1[[#This Row],[Offer_Date]]-Table1[[#This Row],[Interview_Date]])</f>
        <v>7</v>
      </c>
    </row>
    <row r="308" spans="1:2" x14ac:dyDescent="0.3">
      <c r="A308">
        <f>Table1[[#This Row],[Interview_Date]]-Table1[[#This Row],[Application_Date]]</f>
        <v>7</v>
      </c>
      <c r="B308">
        <f>IF(OR(Table1[[#This Row],[Offer_Date]]="",Table1[[#This Row],[Interview_Date]]=""),"",Table1[[#This Row],[Offer_Date]]-Table1[[#This Row],[Interview_Date]])</f>
        <v>4</v>
      </c>
    </row>
    <row r="309" spans="1:2" x14ac:dyDescent="0.3">
      <c r="A309">
        <f>Table1[[#This Row],[Interview_Date]]-Table1[[#This Row],[Application_Date]]</f>
        <v>13</v>
      </c>
      <c r="B309">
        <f>IF(OR(Table1[[#This Row],[Offer_Date]]="",Table1[[#This Row],[Interview_Date]]=""),"",Table1[[#This Row],[Offer_Date]]-Table1[[#This Row],[Interview_Date]])</f>
        <v>4</v>
      </c>
    </row>
    <row r="310" spans="1:2" x14ac:dyDescent="0.3">
      <c r="A310">
        <f>Table1[[#This Row],[Interview_Date]]-Table1[[#This Row],[Application_Date]]</f>
        <v>7</v>
      </c>
      <c r="B310" t="str">
        <f>IF(OR(Table1[[#This Row],[Offer_Date]]="",Table1[[#This Row],[Interview_Date]]=""),"",Table1[[#This Row],[Offer_Date]]-Table1[[#This Row],[Interview_Date]])</f>
        <v/>
      </c>
    </row>
    <row r="311" spans="1:2" x14ac:dyDescent="0.3">
      <c r="A311">
        <f>Table1[[#This Row],[Interview_Date]]-Table1[[#This Row],[Application_Date]]</f>
        <v>7</v>
      </c>
      <c r="B311">
        <f>IF(OR(Table1[[#This Row],[Offer_Date]]="",Table1[[#This Row],[Interview_Date]]=""),"",Table1[[#This Row],[Offer_Date]]-Table1[[#This Row],[Interview_Date]])</f>
        <v>2</v>
      </c>
    </row>
    <row r="312" spans="1:2" x14ac:dyDescent="0.3">
      <c r="A312">
        <f>Table1[[#This Row],[Interview_Date]]-Table1[[#This Row],[Application_Date]]</f>
        <v>6</v>
      </c>
      <c r="B312">
        <f>IF(OR(Table1[[#This Row],[Offer_Date]]="",Table1[[#This Row],[Interview_Date]]=""),"",Table1[[#This Row],[Offer_Date]]-Table1[[#This Row],[Interview_Date]])</f>
        <v>3</v>
      </c>
    </row>
    <row r="313" spans="1:2" x14ac:dyDescent="0.3">
      <c r="A313">
        <f>Table1[[#This Row],[Interview_Date]]-Table1[[#This Row],[Application_Date]]</f>
        <v>14</v>
      </c>
      <c r="B313" t="str">
        <f>IF(OR(Table1[[#This Row],[Offer_Date]]="",Table1[[#This Row],[Interview_Date]]=""),"",Table1[[#This Row],[Offer_Date]]-Table1[[#This Row],[Interview_Date]])</f>
        <v/>
      </c>
    </row>
    <row r="314" spans="1:2" x14ac:dyDescent="0.3">
      <c r="A314">
        <f>Table1[[#This Row],[Interview_Date]]-Table1[[#This Row],[Application_Date]]</f>
        <v>6</v>
      </c>
      <c r="B314" t="str">
        <f>IF(OR(Table1[[#This Row],[Offer_Date]]="",Table1[[#This Row],[Interview_Date]]=""),"",Table1[[#This Row],[Offer_Date]]-Table1[[#This Row],[Interview_Date]])</f>
        <v/>
      </c>
    </row>
    <row r="315" spans="1:2" x14ac:dyDescent="0.3">
      <c r="A315">
        <f>Table1[[#This Row],[Interview_Date]]-Table1[[#This Row],[Application_Date]]</f>
        <v>12</v>
      </c>
      <c r="B315" t="str">
        <f>IF(OR(Table1[[#This Row],[Offer_Date]]="",Table1[[#This Row],[Interview_Date]]=""),"",Table1[[#This Row],[Offer_Date]]-Table1[[#This Row],[Interview_Date]])</f>
        <v/>
      </c>
    </row>
    <row r="316" spans="1:2" x14ac:dyDescent="0.3">
      <c r="A316">
        <f>Table1[[#This Row],[Interview_Date]]-Table1[[#This Row],[Application_Date]]</f>
        <v>12</v>
      </c>
      <c r="B316" t="str">
        <f>IF(OR(Table1[[#This Row],[Offer_Date]]="",Table1[[#This Row],[Interview_Date]]=""),"",Table1[[#This Row],[Offer_Date]]-Table1[[#This Row],[Interview_Date]])</f>
        <v/>
      </c>
    </row>
    <row r="317" spans="1:2" x14ac:dyDescent="0.3">
      <c r="A317">
        <f>Table1[[#This Row],[Interview_Date]]-Table1[[#This Row],[Application_Date]]</f>
        <v>11</v>
      </c>
      <c r="B317">
        <f>IF(OR(Table1[[#This Row],[Offer_Date]]="",Table1[[#This Row],[Interview_Date]]=""),"",Table1[[#This Row],[Offer_Date]]-Table1[[#This Row],[Interview_Date]])</f>
        <v>5</v>
      </c>
    </row>
    <row r="318" spans="1:2" x14ac:dyDescent="0.3">
      <c r="A318">
        <f>Table1[[#This Row],[Interview_Date]]-Table1[[#This Row],[Application_Date]]</f>
        <v>12</v>
      </c>
      <c r="B318" t="str">
        <f>IF(OR(Table1[[#This Row],[Offer_Date]]="",Table1[[#This Row],[Interview_Date]]=""),"",Table1[[#This Row],[Offer_Date]]-Table1[[#This Row],[Interview_Date]])</f>
        <v/>
      </c>
    </row>
    <row r="319" spans="1:2" x14ac:dyDescent="0.3">
      <c r="A319">
        <f>Table1[[#This Row],[Interview_Date]]-Table1[[#This Row],[Application_Date]]</f>
        <v>6</v>
      </c>
      <c r="B319" t="str">
        <f>IF(OR(Table1[[#This Row],[Offer_Date]]="",Table1[[#This Row],[Interview_Date]]=""),"",Table1[[#This Row],[Offer_Date]]-Table1[[#This Row],[Interview_Date]])</f>
        <v/>
      </c>
    </row>
    <row r="320" spans="1:2" x14ac:dyDescent="0.3">
      <c r="A320">
        <f>Table1[[#This Row],[Interview_Date]]-Table1[[#This Row],[Application_Date]]</f>
        <v>15</v>
      </c>
      <c r="B320">
        <f>IF(OR(Table1[[#This Row],[Offer_Date]]="",Table1[[#This Row],[Interview_Date]]=""),"",Table1[[#This Row],[Offer_Date]]-Table1[[#This Row],[Interview_Date]])</f>
        <v>3</v>
      </c>
    </row>
    <row r="321" spans="1:2" x14ac:dyDescent="0.3">
      <c r="A321">
        <f>Table1[[#This Row],[Interview_Date]]-Table1[[#This Row],[Application_Date]]</f>
        <v>10</v>
      </c>
      <c r="B321">
        <f>IF(OR(Table1[[#This Row],[Offer_Date]]="",Table1[[#This Row],[Interview_Date]]=""),"",Table1[[#This Row],[Offer_Date]]-Table1[[#This Row],[Interview_Date]])</f>
        <v>7</v>
      </c>
    </row>
    <row r="322" spans="1:2" x14ac:dyDescent="0.3">
      <c r="A322">
        <f>Table1[[#This Row],[Interview_Date]]-Table1[[#This Row],[Application_Date]]</f>
        <v>8</v>
      </c>
      <c r="B322" t="str">
        <f>IF(OR(Table1[[#This Row],[Offer_Date]]="",Table1[[#This Row],[Interview_Date]]=""),"",Table1[[#This Row],[Offer_Date]]-Table1[[#This Row],[Interview_Date]])</f>
        <v/>
      </c>
    </row>
    <row r="323" spans="1:2" x14ac:dyDescent="0.3">
      <c r="A323">
        <f>Table1[[#This Row],[Interview_Date]]-Table1[[#This Row],[Application_Date]]</f>
        <v>11</v>
      </c>
      <c r="B323" t="str">
        <f>IF(OR(Table1[[#This Row],[Offer_Date]]="",Table1[[#This Row],[Interview_Date]]=""),"",Table1[[#This Row],[Offer_Date]]-Table1[[#This Row],[Interview_Date]])</f>
        <v/>
      </c>
    </row>
    <row r="324" spans="1:2" x14ac:dyDescent="0.3">
      <c r="A324">
        <f>Table1[[#This Row],[Interview_Date]]-Table1[[#This Row],[Application_Date]]</f>
        <v>8</v>
      </c>
      <c r="B324">
        <f>IF(OR(Table1[[#This Row],[Offer_Date]]="",Table1[[#This Row],[Interview_Date]]=""),"",Table1[[#This Row],[Offer_Date]]-Table1[[#This Row],[Interview_Date]])</f>
        <v>3</v>
      </c>
    </row>
    <row r="325" spans="1:2" x14ac:dyDescent="0.3">
      <c r="A325">
        <f>Table1[[#This Row],[Interview_Date]]-Table1[[#This Row],[Application_Date]]</f>
        <v>13</v>
      </c>
      <c r="B325">
        <f>IF(OR(Table1[[#This Row],[Offer_Date]]="",Table1[[#This Row],[Interview_Date]]=""),"",Table1[[#This Row],[Offer_Date]]-Table1[[#This Row],[Interview_Date]])</f>
        <v>7</v>
      </c>
    </row>
    <row r="326" spans="1:2" x14ac:dyDescent="0.3">
      <c r="A326">
        <f>Table1[[#This Row],[Interview_Date]]-Table1[[#This Row],[Application_Date]]</f>
        <v>8</v>
      </c>
      <c r="B326">
        <f>IF(OR(Table1[[#This Row],[Offer_Date]]="",Table1[[#This Row],[Interview_Date]]=""),"",Table1[[#This Row],[Offer_Date]]-Table1[[#This Row],[Interview_Date]])</f>
        <v>2</v>
      </c>
    </row>
    <row r="327" spans="1:2" x14ac:dyDescent="0.3">
      <c r="A327">
        <f>Table1[[#This Row],[Interview_Date]]-Table1[[#This Row],[Application_Date]]</f>
        <v>4</v>
      </c>
      <c r="B327">
        <f>IF(OR(Table1[[#This Row],[Offer_Date]]="",Table1[[#This Row],[Interview_Date]]=""),"",Table1[[#This Row],[Offer_Date]]-Table1[[#This Row],[Interview_Date]])</f>
        <v>3</v>
      </c>
    </row>
    <row r="328" spans="1:2" x14ac:dyDescent="0.3">
      <c r="A328">
        <f>Table1[[#This Row],[Interview_Date]]-Table1[[#This Row],[Application_Date]]</f>
        <v>3</v>
      </c>
      <c r="B328">
        <f>IF(OR(Table1[[#This Row],[Offer_Date]]="",Table1[[#This Row],[Interview_Date]]=""),"",Table1[[#This Row],[Offer_Date]]-Table1[[#This Row],[Interview_Date]])</f>
        <v>3</v>
      </c>
    </row>
    <row r="329" spans="1:2" x14ac:dyDescent="0.3">
      <c r="A329">
        <f>Table1[[#This Row],[Interview_Date]]-Table1[[#This Row],[Application_Date]]</f>
        <v>13</v>
      </c>
      <c r="B329">
        <f>IF(OR(Table1[[#This Row],[Offer_Date]]="",Table1[[#This Row],[Interview_Date]]=""),"",Table1[[#This Row],[Offer_Date]]-Table1[[#This Row],[Interview_Date]])</f>
        <v>3</v>
      </c>
    </row>
    <row r="330" spans="1:2" x14ac:dyDescent="0.3">
      <c r="A330">
        <f>Table1[[#This Row],[Interview_Date]]-Table1[[#This Row],[Application_Date]]</f>
        <v>4</v>
      </c>
      <c r="B330" t="str">
        <f>IF(OR(Table1[[#This Row],[Offer_Date]]="",Table1[[#This Row],[Interview_Date]]=""),"",Table1[[#This Row],[Offer_Date]]-Table1[[#This Row],[Interview_Date]])</f>
        <v/>
      </c>
    </row>
    <row r="331" spans="1:2" x14ac:dyDescent="0.3">
      <c r="A331">
        <f>Table1[[#This Row],[Interview_Date]]-Table1[[#This Row],[Application_Date]]</f>
        <v>7</v>
      </c>
      <c r="B331">
        <f>IF(OR(Table1[[#This Row],[Offer_Date]]="",Table1[[#This Row],[Interview_Date]]=""),"",Table1[[#This Row],[Offer_Date]]-Table1[[#This Row],[Interview_Date]])</f>
        <v>4</v>
      </c>
    </row>
    <row r="332" spans="1:2" x14ac:dyDescent="0.3">
      <c r="A332">
        <f>Table1[[#This Row],[Interview_Date]]-Table1[[#This Row],[Application_Date]]</f>
        <v>14</v>
      </c>
      <c r="B332" t="str">
        <f>IF(OR(Table1[[#This Row],[Offer_Date]]="",Table1[[#This Row],[Interview_Date]]=""),"",Table1[[#This Row],[Offer_Date]]-Table1[[#This Row],[Interview_Date]])</f>
        <v/>
      </c>
    </row>
    <row r="333" spans="1:2" x14ac:dyDescent="0.3">
      <c r="A333">
        <f>Table1[[#This Row],[Interview_Date]]-Table1[[#This Row],[Application_Date]]</f>
        <v>7</v>
      </c>
      <c r="B333" t="str">
        <f>IF(OR(Table1[[#This Row],[Offer_Date]]="",Table1[[#This Row],[Interview_Date]]=""),"",Table1[[#This Row],[Offer_Date]]-Table1[[#This Row],[Interview_Date]])</f>
        <v/>
      </c>
    </row>
    <row r="334" spans="1:2" x14ac:dyDescent="0.3">
      <c r="A334">
        <f>Table1[[#This Row],[Interview_Date]]-Table1[[#This Row],[Application_Date]]</f>
        <v>7</v>
      </c>
      <c r="B334" t="str">
        <f>IF(OR(Table1[[#This Row],[Offer_Date]]="",Table1[[#This Row],[Interview_Date]]=""),"",Table1[[#This Row],[Offer_Date]]-Table1[[#This Row],[Interview_Date]])</f>
        <v/>
      </c>
    </row>
    <row r="335" spans="1:2" x14ac:dyDescent="0.3">
      <c r="A335">
        <f>Table1[[#This Row],[Interview_Date]]-Table1[[#This Row],[Application_Date]]</f>
        <v>8</v>
      </c>
      <c r="B335" t="str">
        <f>IF(OR(Table1[[#This Row],[Offer_Date]]="",Table1[[#This Row],[Interview_Date]]=""),"",Table1[[#This Row],[Offer_Date]]-Table1[[#This Row],[Interview_Date]])</f>
        <v/>
      </c>
    </row>
    <row r="336" spans="1:2" x14ac:dyDescent="0.3">
      <c r="A336">
        <f>Table1[[#This Row],[Interview_Date]]-Table1[[#This Row],[Application_Date]]</f>
        <v>4</v>
      </c>
      <c r="B336">
        <f>IF(OR(Table1[[#This Row],[Offer_Date]]="",Table1[[#This Row],[Interview_Date]]=""),"",Table1[[#This Row],[Offer_Date]]-Table1[[#This Row],[Interview_Date]])</f>
        <v>4</v>
      </c>
    </row>
    <row r="337" spans="1:2" x14ac:dyDescent="0.3">
      <c r="A337">
        <f>Table1[[#This Row],[Interview_Date]]-Table1[[#This Row],[Application_Date]]</f>
        <v>8</v>
      </c>
      <c r="B337">
        <f>IF(OR(Table1[[#This Row],[Offer_Date]]="",Table1[[#This Row],[Interview_Date]]=""),"",Table1[[#This Row],[Offer_Date]]-Table1[[#This Row],[Interview_Date]])</f>
        <v>7</v>
      </c>
    </row>
    <row r="338" spans="1:2" x14ac:dyDescent="0.3">
      <c r="A338">
        <f>Table1[[#This Row],[Interview_Date]]-Table1[[#This Row],[Application_Date]]</f>
        <v>4</v>
      </c>
      <c r="B338" t="str">
        <f>IF(OR(Table1[[#This Row],[Offer_Date]]="",Table1[[#This Row],[Interview_Date]]=""),"",Table1[[#This Row],[Offer_Date]]-Table1[[#This Row],[Interview_Date]])</f>
        <v/>
      </c>
    </row>
    <row r="339" spans="1:2" x14ac:dyDescent="0.3">
      <c r="A339">
        <f>Table1[[#This Row],[Interview_Date]]-Table1[[#This Row],[Application_Date]]</f>
        <v>6</v>
      </c>
      <c r="B339">
        <f>IF(OR(Table1[[#This Row],[Offer_Date]]="",Table1[[#This Row],[Interview_Date]]=""),"",Table1[[#This Row],[Offer_Date]]-Table1[[#This Row],[Interview_Date]])</f>
        <v>5</v>
      </c>
    </row>
    <row r="340" spans="1:2" x14ac:dyDescent="0.3">
      <c r="A340">
        <f>Table1[[#This Row],[Interview_Date]]-Table1[[#This Row],[Application_Date]]</f>
        <v>5</v>
      </c>
      <c r="B340">
        <f>IF(OR(Table1[[#This Row],[Offer_Date]]="",Table1[[#This Row],[Interview_Date]]=""),"",Table1[[#This Row],[Offer_Date]]-Table1[[#This Row],[Interview_Date]])</f>
        <v>3</v>
      </c>
    </row>
    <row r="341" spans="1:2" x14ac:dyDescent="0.3">
      <c r="A341">
        <f>Table1[[#This Row],[Interview_Date]]-Table1[[#This Row],[Application_Date]]</f>
        <v>13</v>
      </c>
      <c r="B341" t="str">
        <f>IF(OR(Table1[[#This Row],[Offer_Date]]="",Table1[[#This Row],[Interview_Date]]=""),"",Table1[[#This Row],[Offer_Date]]-Table1[[#This Row],[Interview_Date]])</f>
        <v/>
      </c>
    </row>
    <row r="342" spans="1:2" x14ac:dyDescent="0.3">
      <c r="A342">
        <f>Table1[[#This Row],[Interview_Date]]-Table1[[#This Row],[Application_Date]]</f>
        <v>13</v>
      </c>
      <c r="B342" t="str">
        <f>IF(OR(Table1[[#This Row],[Offer_Date]]="",Table1[[#This Row],[Interview_Date]]=""),"",Table1[[#This Row],[Offer_Date]]-Table1[[#This Row],[Interview_Date]])</f>
        <v/>
      </c>
    </row>
    <row r="343" spans="1:2" x14ac:dyDescent="0.3">
      <c r="A343">
        <f>Table1[[#This Row],[Interview_Date]]-Table1[[#This Row],[Application_Date]]</f>
        <v>11</v>
      </c>
      <c r="B343">
        <f>IF(OR(Table1[[#This Row],[Offer_Date]]="",Table1[[#This Row],[Interview_Date]]=""),"",Table1[[#This Row],[Offer_Date]]-Table1[[#This Row],[Interview_Date]])</f>
        <v>7</v>
      </c>
    </row>
    <row r="344" spans="1:2" x14ac:dyDescent="0.3">
      <c r="A344">
        <f>Table1[[#This Row],[Interview_Date]]-Table1[[#This Row],[Application_Date]]</f>
        <v>3</v>
      </c>
      <c r="B344" t="str">
        <f>IF(OR(Table1[[#This Row],[Offer_Date]]="",Table1[[#This Row],[Interview_Date]]=""),"",Table1[[#This Row],[Offer_Date]]-Table1[[#This Row],[Interview_Date]])</f>
        <v/>
      </c>
    </row>
    <row r="345" spans="1:2" x14ac:dyDescent="0.3">
      <c r="A345">
        <f>Table1[[#This Row],[Interview_Date]]-Table1[[#This Row],[Application_Date]]</f>
        <v>6</v>
      </c>
      <c r="B345">
        <f>IF(OR(Table1[[#This Row],[Offer_Date]]="",Table1[[#This Row],[Interview_Date]]=""),"",Table1[[#This Row],[Offer_Date]]-Table1[[#This Row],[Interview_Date]])</f>
        <v>2</v>
      </c>
    </row>
    <row r="346" spans="1:2" x14ac:dyDescent="0.3">
      <c r="A346">
        <f>Table1[[#This Row],[Interview_Date]]-Table1[[#This Row],[Application_Date]]</f>
        <v>14</v>
      </c>
      <c r="B346" t="str">
        <f>IF(OR(Table1[[#This Row],[Offer_Date]]="",Table1[[#This Row],[Interview_Date]]=""),"",Table1[[#This Row],[Offer_Date]]-Table1[[#This Row],[Interview_Date]])</f>
        <v/>
      </c>
    </row>
    <row r="347" spans="1:2" x14ac:dyDescent="0.3">
      <c r="A347">
        <f>Table1[[#This Row],[Interview_Date]]-Table1[[#This Row],[Application_Date]]</f>
        <v>8</v>
      </c>
      <c r="B347">
        <f>IF(OR(Table1[[#This Row],[Offer_Date]]="",Table1[[#This Row],[Interview_Date]]=""),"",Table1[[#This Row],[Offer_Date]]-Table1[[#This Row],[Interview_Date]])</f>
        <v>7</v>
      </c>
    </row>
    <row r="348" spans="1:2" x14ac:dyDescent="0.3">
      <c r="A348">
        <f>Table1[[#This Row],[Interview_Date]]-Table1[[#This Row],[Application_Date]]</f>
        <v>10</v>
      </c>
      <c r="B348">
        <f>IF(OR(Table1[[#This Row],[Offer_Date]]="",Table1[[#This Row],[Interview_Date]]=""),"",Table1[[#This Row],[Offer_Date]]-Table1[[#This Row],[Interview_Date]])</f>
        <v>7</v>
      </c>
    </row>
    <row r="349" spans="1:2" x14ac:dyDescent="0.3">
      <c r="A349">
        <f>Table1[[#This Row],[Interview_Date]]-Table1[[#This Row],[Application_Date]]</f>
        <v>12</v>
      </c>
      <c r="B349">
        <f>IF(OR(Table1[[#This Row],[Offer_Date]]="",Table1[[#This Row],[Interview_Date]]=""),"",Table1[[#This Row],[Offer_Date]]-Table1[[#This Row],[Interview_Date]])</f>
        <v>6</v>
      </c>
    </row>
    <row r="350" spans="1:2" x14ac:dyDescent="0.3">
      <c r="A350">
        <f>Table1[[#This Row],[Interview_Date]]-Table1[[#This Row],[Application_Date]]</f>
        <v>10</v>
      </c>
      <c r="B350" t="str">
        <f>IF(OR(Table1[[#This Row],[Offer_Date]]="",Table1[[#This Row],[Interview_Date]]=""),"",Table1[[#This Row],[Offer_Date]]-Table1[[#This Row],[Interview_Date]])</f>
        <v/>
      </c>
    </row>
    <row r="351" spans="1:2" x14ac:dyDescent="0.3">
      <c r="A351">
        <f>Table1[[#This Row],[Interview_Date]]-Table1[[#This Row],[Application_Date]]</f>
        <v>6</v>
      </c>
      <c r="B351">
        <f>IF(OR(Table1[[#This Row],[Offer_Date]]="",Table1[[#This Row],[Interview_Date]]=""),"",Table1[[#This Row],[Offer_Date]]-Table1[[#This Row],[Interview_Date]])</f>
        <v>6</v>
      </c>
    </row>
    <row r="352" spans="1:2" x14ac:dyDescent="0.3">
      <c r="A352">
        <f>Table1[[#This Row],[Interview_Date]]-Table1[[#This Row],[Application_Date]]</f>
        <v>4</v>
      </c>
      <c r="B352" t="str">
        <f>IF(OR(Table1[[#This Row],[Offer_Date]]="",Table1[[#This Row],[Interview_Date]]=""),"",Table1[[#This Row],[Offer_Date]]-Table1[[#This Row],[Interview_Date]])</f>
        <v/>
      </c>
    </row>
    <row r="353" spans="1:2" x14ac:dyDescent="0.3">
      <c r="A353">
        <f>Table1[[#This Row],[Interview_Date]]-Table1[[#This Row],[Application_Date]]</f>
        <v>4</v>
      </c>
      <c r="B353">
        <f>IF(OR(Table1[[#This Row],[Offer_Date]]="",Table1[[#This Row],[Interview_Date]]=""),"",Table1[[#This Row],[Offer_Date]]-Table1[[#This Row],[Interview_Date]])</f>
        <v>3</v>
      </c>
    </row>
    <row r="354" spans="1:2" x14ac:dyDescent="0.3">
      <c r="A354">
        <f>Table1[[#This Row],[Interview_Date]]-Table1[[#This Row],[Application_Date]]</f>
        <v>9</v>
      </c>
      <c r="B354">
        <f>IF(OR(Table1[[#This Row],[Offer_Date]]="",Table1[[#This Row],[Interview_Date]]=""),"",Table1[[#This Row],[Offer_Date]]-Table1[[#This Row],[Interview_Date]])</f>
        <v>7</v>
      </c>
    </row>
    <row r="355" spans="1:2" x14ac:dyDescent="0.3">
      <c r="A355">
        <f>Table1[[#This Row],[Interview_Date]]-Table1[[#This Row],[Application_Date]]</f>
        <v>14</v>
      </c>
      <c r="B355" t="str">
        <f>IF(OR(Table1[[#This Row],[Offer_Date]]="",Table1[[#This Row],[Interview_Date]]=""),"",Table1[[#This Row],[Offer_Date]]-Table1[[#This Row],[Interview_Date]])</f>
        <v/>
      </c>
    </row>
    <row r="356" spans="1:2" x14ac:dyDescent="0.3">
      <c r="A356">
        <f>Table1[[#This Row],[Interview_Date]]-Table1[[#This Row],[Application_Date]]</f>
        <v>4</v>
      </c>
      <c r="B356" t="str">
        <f>IF(OR(Table1[[#This Row],[Offer_Date]]="",Table1[[#This Row],[Interview_Date]]=""),"",Table1[[#This Row],[Offer_Date]]-Table1[[#This Row],[Interview_Date]])</f>
        <v/>
      </c>
    </row>
    <row r="357" spans="1:2" x14ac:dyDescent="0.3">
      <c r="A357">
        <f>Table1[[#This Row],[Interview_Date]]-Table1[[#This Row],[Application_Date]]</f>
        <v>4</v>
      </c>
      <c r="B357" t="str">
        <f>IF(OR(Table1[[#This Row],[Offer_Date]]="",Table1[[#This Row],[Interview_Date]]=""),"",Table1[[#This Row],[Offer_Date]]-Table1[[#This Row],[Interview_Date]])</f>
        <v/>
      </c>
    </row>
    <row r="358" spans="1:2" x14ac:dyDescent="0.3">
      <c r="A358">
        <f>Table1[[#This Row],[Interview_Date]]-Table1[[#This Row],[Application_Date]]</f>
        <v>11</v>
      </c>
      <c r="B358">
        <f>IF(OR(Table1[[#This Row],[Offer_Date]]="",Table1[[#This Row],[Interview_Date]]=""),"",Table1[[#This Row],[Offer_Date]]-Table1[[#This Row],[Interview_Date]])</f>
        <v>6</v>
      </c>
    </row>
    <row r="359" spans="1:2" x14ac:dyDescent="0.3">
      <c r="A359">
        <f>Table1[[#This Row],[Interview_Date]]-Table1[[#This Row],[Application_Date]]</f>
        <v>13</v>
      </c>
      <c r="B359" t="str">
        <f>IF(OR(Table1[[#This Row],[Offer_Date]]="",Table1[[#This Row],[Interview_Date]]=""),"",Table1[[#This Row],[Offer_Date]]-Table1[[#This Row],[Interview_Date]])</f>
        <v/>
      </c>
    </row>
    <row r="360" spans="1:2" x14ac:dyDescent="0.3">
      <c r="A360">
        <f>Table1[[#This Row],[Interview_Date]]-Table1[[#This Row],[Application_Date]]</f>
        <v>9</v>
      </c>
      <c r="B360">
        <f>IF(OR(Table1[[#This Row],[Offer_Date]]="",Table1[[#This Row],[Interview_Date]]=""),"",Table1[[#This Row],[Offer_Date]]-Table1[[#This Row],[Interview_Date]])</f>
        <v>6</v>
      </c>
    </row>
    <row r="361" spans="1:2" x14ac:dyDescent="0.3">
      <c r="A361">
        <f>Table1[[#This Row],[Interview_Date]]-Table1[[#This Row],[Application_Date]]</f>
        <v>9</v>
      </c>
      <c r="B361" t="str">
        <f>IF(OR(Table1[[#This Row],[Offer_Date]]="",Table1[[#This Row],[Interview_Date]]=""),"",Table1[[#This Row],[Offer_Date]]-Table1[[#This Row],[Interview_Date]])</f>
        <v/>
      </c>
    </row>
    <row r="362" spans="1:2" x14ac:dyDescent="0.3">
      <c r="A362">
        <f>Table1[[#This Row],[Interview_Date]]-Table1[[#This Row],[Application_Date]]</f>
        <v>11</v>
      </c>
      <c r="B362" t="str">
        <f>IF(OR(Table1[[#This Row],[Offer_Date]]="",Table1[[#This Row],[Interview_Date]]=""),"",Table1[[#This Row],[Offer_Date]]-Table1[[#This Row],[Interview_Date]])</f>
        <v/>
      </c>
    </row>
    <row r="363" spans="1:2" x14ac:dyDescent="0.3">
      <c r="A363">
        <f>Table1[[#This Row],[Interview_Date]]-Table1[[#This Row],[Application_Date]]</f>
        <v>9</v>
      </c>
      <c r="B363" t="str">
        <f>IF(OR(Table1[[#This Row],[Offer_Date]]="",Table1[[#This Row],[Interview_Date]]=""),"",Table1[[#This Row],[Offer_Date]]-Table1[[#This Row],[Interview_Date]])</f>
        <v/>
      </c>
    </row>
    <row r="364" spans="1:2" x14ac:dyDescent="0.3">
      <c r="A364">
        <f>Table1[[#This Row],[Interview_Date]]-Table1[[#This Row],[Application_Date]]</f>
        <v>10</v>
      </c>
      <c r="B364">
        <f>IF(OR(Table1[[#This Row],[Offer_Date]]="",Table1[[#This Row],[Interview_Date]]=""),"",Table1[[#This Row],[Offer_Date]]-Table1[[#This Row],[Interview_Date]])</f>
        <v>3</v>
      </c>
    </row>
    <row r="365" spans="1:2" x14ac:dyDescent="0.3">
      <c r="A365">
        <f>Table1[[#This Row],[Interview_Date]]-Table1[[#This Row],[Application_Date]]</f>
        <v>13</v>
      </c>
      <c r="B365">
        <f>IF(OR(Table1[[#This Row],[Offer_Date]]="",Table1[[#This Row],[Interview_Date]]=""),"",Table1[[#This Row],[Offer_Date]]-Table1[[#This Row],[Interview_Date]])</f>
        <v>2</v>
      </c>
    </row>
    <row r="366" spans="1:2" x14ac:dyDescent="0.3">
      <c r="A366">
        <f>Table1[[#This Row],[Interview_Date]]-Table1[[#This Row],[Application_Date]]</f>
        <v>13</v>
      </c>
      <c r="B366" t="str">
        <f>IF(OR(Table1[[#This Row],[Offer_Date]]="",Table1[[#This Row],[Interview_Date]]=""),"",Table1[[#This Row],[Offer_Date]]-Table1[[#This Row],[Interview_Date]])</f>
        <v/>
      </c>
    </row>
    <row r="367" spans="1:2" x14ac:dyDescent="0.3">
      <c r="A367">
        <f>Table1[[#This Row],[Interview_Date]]-Table1[[#This Row],[Application_Date]]</f>
        <v>10</v>
      </c>
      <c r="B367" t="str">
        <f>IF(OR(Table1[[#This Row],[Offer_Date]]="",Table1[[#This Row],[Interview_Date]]=""),"",Table1[[#This Row],[Offer_Date]]-Table1[[#This Row],[Interview_Date]])</f>
        <v/>
      </c>
    </row>
    <row r="368" spans="1:2" x14ac:dyDescent="0.3">
      <c r="A368">
        <f>Table1[[#This Row],[Interview_Date]]-Table1[[#This Row],[Application_Date]]</f>
        <v>12</v>
      </c>
      <c r="B368" t="str">
        <f>IF(OR(Table1[[#This Row],[Offer_Date]]="",Table1[[#This Row],[Interview_Date]]=""),"",Table1[[#This Row],[Offer_Date]]-Table1[[#This Row],[Interview_Date]])</f>
        <v/>
      </c>
    </row>
    <row r="369" spans="1:2" x14ac:dyDescent="0.3">
      <c r="A369">
        <f>Table1[[#This Row],[Interview_Date]]-Table1[[#This Row],[Application_Date]]</f>
        <v>3</v>
      </c>
      <c r="B369" t="str">
        <f>IF(OR(Table1[[#This Row],[Offer_Date]]="",Table1[[#This Row],[Interview_Date]]=""),"",Table1[[#This Row],[Offer_Date]]-Table1[[#This Row],[Interview_Date]])</f>
        <v/>
      </c>
    </row>
    <row r="370" spans="1:2" x14ac:dyDescent="0.3">
      <c r="A370">
        <f>Table1[[#This Row],[Interview_Date]]-Table1[[#This Row],[Application_Date]]</f>
        <v>11</v>
      </c>
      <c r="B370" t="str">
        <f>IF(OR(Table1[[#This Row],[Offer_Date]]="",Table1[[#This Row],[Interview_Date]]=""),"",Table1[[#This Row],[Offer_Date]]-Table1[[#This Row],[Interview_Date]])</f>
        <v/>
      </c>
    </row>
    <row r="371" spans="1:2" x14ac:dyDescent="0.3">
      <c r="A371">
        <f>Table1[[#This Row],[Interview_Date]]-Table1[[#This Row],[Application_Date]]</f>
        <v>10</v>
      </c>
      <c r="B371">
        <f>IF(OR(Table1[[#This Row],[Offer_Date]]="",Table1[[#This Row],[Interview_Date]]=""),"",Table1[[#This Row],[Offer_Date]]-Table1[[#This Row],[Interview_Date]])</f>
        <v>6</v>
      </c>
    </row>
    <row r="372" spans="1:2" x14ac:dyDescent="0.3">
      <c r="A372">
        <f>Table1[[#This Row],[Interview_Date]]-Table1[[#This Row],[Application_Date]]</f>
        <v>12</v>
      </c>
      <c r="B372" t="str">
        <f>IF(OR(Table1[[#This Row],[Offer_Date]]="",Table1[[#This Row],[Interview_Date]]=""),"",Table1[[#This Row],[Offer_Date]]-Table1[[#This Row],[Interview_Date]])</f>
        <v/>
      </c>
    </row>
    <row r="373" spans="1:2" x14ac:dyDescent="0.3">
      <c r="A373">
        <f>Table1[[#This Row],[Interview_Date]]-Table1[[#This Row],[Application_Date]]</f>
        <v>11</v>
      </c>
      <c r="B373" t="str">
        <f>IF(OR(Table1[[#This Row],[Offer_Date]]="",Table1[[#This Row],[Interview_Date]]=""),"",Table1[[#This Row],[Offer_Date]]-Table1[[#This Row],[Interview_Date]])</f>
        <v/>
      </c>
    </row>
    <row r="374" spans="1:2" x14ac:dyDescent="0.3">
      <c r="A374">
        <f>Table1[[#This Row],[Interview_Date]]-Table1[[#This Row],[Application_Date]]</f>
        <v>14</v>
      </c>
      <c r="B374" t="str">
        <f>IF(OR(Table1[[#This Row],[Offer_Date]]="",Table1[[#This Row],[Interview_Date]]=""),"",Table1[[#This Row],[Offer_Date]]-Table1[[#This Row],[Interview_Date]])</f>
        <v/>
      </c>
    </row>
    <row r="375" spans="1:2" x14ac:dyDescent="0.3">
      <c r="A375">
        <f>Table1[[#This Row],[Interview_Date]]-Table1[[#This Row],[Application_Date]]</f>
        <v>15</v>
      </c>
      <c r="B375">
        <f>IF(OR(Table1[[#This Row],[Offer_Date]]="",Table1[[#This Row],[Interview_Date]]=""),"",Table1[[#This Row],[Offer_Date]]-Table1[[#This Row],[Interview_Date]])</f>
        <v>2</v>
      </c>
    </row>
    <row r="376" spans="1:2" x14ac:dyDescent="0.3">
      <c r="A376">
        <f>Table1[[#This Row],[Interview_Date]]-Table1[[#This Row],[Application_Date]]</f>
        <v>15</v>
      </c>
      <c r="B376">
        <f>IF(OR(Table1[[#This Row],[Offer_Date]]="",Table1[[#This Row],[Interview_Date]]=""),"",Table1[[#This Row],[Offer_Date]]-Table1[[#This Row],[Interview_Date]])</f>
        <v>2</v>
      </c>
    </row>
    <row r="377" spans="1:2" x14ac:dyDescent="0.3">
      <c r="A377">
        <f>Table1[[#This Row],[Interview_Date]]-Table1[[#This Row],[Application_Date]]</f>
        <v>3</v>
      </c>
      <c r="B377">
        <f>IF(OR(Table1[[#This Row],[Offer_Date]]="",Table1[[#This Row],[Interview_Date]]=""),"",Table1[[#This Row],[Offer_Date]]-Table1[[#This Row],[Interview_Date]])</f>
        <v>3</v>
      </c>
    </row>
    <row r="378" spans="1:2" x14ac:dyDescent="0.3">
      <c r="A378">
        <f>Table1[[#This Row],[Interview_Date]]-Table1[[#This Row],[Application_Date]]</f>
        <v>13</v>
      </c>
      <c r="B378">
        <f>IF(OR(Table1[[#This Row],[Offer_Date]]="",Table1[[#This Row],[Interview_Date]]=""),"",Table1[[#This Row],[Offer_Date]]-Table1[[#This Row],[Interview_Date]])</f>
        <v>2</v>
      </c>
    </row>
    <row r="379" spans="1:2" x14ac:dyDescent="0.3">
      <c r="A379">
        <f>Table1[[#This Row],[Interview_Date]]-Table1[[#This Row],[Application_Date]]</f>
        <v>6</v>
      </c>
      <c r="B379">
        <f>IF(OR(Table1[[#This Row],[Offer_Date]]="",Table1[[#This Row],[Interview_Date]]=""),"",Table1[[#This Row],[Offer_Date]]-Table1[[#This Row],[Interview_Date]])</f>
        <v>7</v>
      </c>
    </row>
    <row r="380" spans="1:2" x14ac:dyDescent="0.3">
      <c r="A380">
        <f>Table1[[#This Row],[Interview_Date]]-Table1[[#This Row],[Application_Date]]</f>
        <v>11</v>
      </c>
      <c r="B380">
        <f>IF(OR(Table1[[#This Row],[Offer_Date]]="",Table1[[#This Row],[Interview_Date]]=""),"",Table1[[#This Row],[Offer_Date]]-Table1[[#This Row],[Interview_Date]])</f>
        <v>7</v>
      </c>
    </row>
    <row r="381" spans="1:2" x14ac:dyDescent="0.3">
      <c r="A381">
        <f>Table1[[#This Row],[Interview_Date]]-Table1[[#This Row],[Application_Date]]</f>
        <v>12</v>
      </c>
      <c r="B381">
        <f>IF(OR(Table1[[#This Row],[Offer_Date]]="",Table1[[#This Row],[Interview_Date]]=""),"",Table1[[#This Row],[Offer_Date]]-Table1[[#This Row],[Interview_Date]])</f>
        <v>2</v>
      </c>
    </row>
    <row r="382" spans="1:2" x14ac:dyDescent="0.3">
      <c r="A382">
        <f>Table1[[#This Row],[Interview_Date]]-Table1[[#This Row],[Application_Date]]</f>
        <v>4</v>
      </c>
      <c r="B382">
        <f>IF(OR(Table1[[#This Row],[Offer_Date]]="",Table1[[#This Row],[Interview_Date]]=""),"",Table1[[#This Row],[Offer_Date]]-Table1[[#This Row],[Interview_Date]])</f>
        <v>7</v>
      </c>
    </row>
    <row r="383" spans="1:2" x14ac:dyDescent="0.3">
      <c r="A383">
        <f>Table1[[#This Row],[Interview_Date]]-Table1[[#This Row],[Application_Date]]</f>
        <v>4</v>
      </c>
      <c r="B383" t="str">
        <f>IF(OR(Table1[[#This Row],[Offer_Date]]="",Table1[[#This Row],[Interview_Date]]=""),"",Table1[[#This Row],[Offer_Date]]-Table1[[#This Row],[Interview_Date]])</f>
        <v/>
      </c>
    </row>
    <row r="384" spans="1:2" x14ac:dyDescent="0.3">
      <c r="A384">
        <f>Table1[[#This Row],[Interview_Date]]-Table1[[#This Row],[Application_Date]]</f>
        <v>9</v>
      </c>
      <c r="B384" t="str">
        <f>IF(OR(Table1[[#This Row],[Offer_Date]]="",Table1[[#This Row],[Interview_Date]]=""),"",Table1[[#This Row],[Offer_Date]]-Table1[[#This Row],[Interview_Date]])</f>
        <v/>
      </c>
    </row>
    <row r="385" spans="1:2" x14ac:dyDescent="0.3">
      <c r="A385">
        <f>Table1[[#This Row],[Interview_Date]]-Table1[[#This Row],[Application_Date]]</f>
        <v>11</v>
      </c>
      <c r="B385" t="str">
        <f>IF(OR(Table1[[#This Row],[Offer_Date]]="",Table1[[#This Row],[Interview_Date]]=""),"",Table1[[#This Row],[Offer_Date]]-Table1[[#This Row],[Interview_Date]])</f>
        <v/>
      </c>
    </row>
    <row r="386" spans="1:2" x14ac:dyDescent="0.3">
      <c r="A386">
        <f>Table1[[#This Row],[Interview_Date]]-Table1[[#This Row],[Application_Date]]</f>
        <v>3</v>
      </c>
      <c r="B386">
        <f>IF(OR(Table1[[#This Row],[Offer_Date]]="",Table1[[#This Row],[Interview_Date]]=""),"",Table1[[#This Row],[Offer_Date]]-Table1[[#This Row],[Interview_Date]])</f>
        <v>5</v>
      </c>
    </row>
    <row r="387" spans="1:2" x14ac:dyDescent="0.3">
      <c r="A387">
        <f>Table1[[#This Row],[Interview_Date]]-Table1[[#This Row],[Application_Date]]</f>
        <v>12</v>
      </c>
      <c r="B387" t="str">
        <f>IF(OR(Table1[[#This Row],[Offer_Date]]="",Table1[[#This Row],[Interview_Date]]=""),"",Table1[[#This Row],[Offer_Date]]-Table1[[#This Row],[Interview_Date]])</f>
        <v/>
      </c>
    </row>
    <row r="388" spans="1:2" x14ac:dyDescent="0.3">
      <c r="A388">
        <f>Table1[[#This Row],[Interview_Date]]-Table1[[#This Row],[Application_Date]]</f>
        <v>5</v>
      </c>
      <c r="B388">
        <f>IF(OR(Table1[[#This Row],[Offer_Date]]="",Table1[[#This Row],[Interview_Date]]=""),"",Table1[[#This Row],[Offer_Date]]-Table1[[#This Row],[Interview_Date]])</f>
        <v>7</v>
      </c>
    </row>
    <row r="389" spans="1:2" x14ac:dyDescent="0.3">
      <c r="A389">
        <f>Table1[[#This Row],[Interview_Date]]-Table1[[#This Row],[Application_Date]]</f>
        <v>15</v>
      </c>
      <c r="B389">
        <f>IF(OR(Table1[[#This Row],[Offer_Date]]="",Table1[[#This Row],[Interview_Date]]=""),"",Table1[[#This Row],[Offer_Date]]-Table1[[#This Row],[Interview_Date]])</f>
        <v>7</v>
      </c>
    </row>
    <row r="390" spans="1:2" x14ac:dyDescent="0.3">
      <c r="A390">
        <f>Table1[[#This Row],[Interview_Date]]-Table1[[#This Row],[Application_Date]]</f>
        <v>9</v>
      </c>
      <c r="B390">
        <f>IF(OR(Table1[[#This Row],[Offer_Date]]="",Table1[[#This Row],[Interview_Date]]=""),"",Table1[[#This Row],[Offer_Date]]-Table1[[#This Row],[Interview_Date]])</f>
        <v>2</v>
      </c>
    </row>
    <row r="391" spans="1:2" x14ac:dyDescent="0.3">
      <c r="A391">
        <f>Table1[[#This Row],[Interview_Date]]-Table1[[#This Row],[Application_Date]]</f>
        <v>8</v>
      </c>
      <c r="B391" t="str">
        <f>IF(OR(Table1[[#This Row],[Offer_Date]]="",Table1[[#This Row],[Interview_Date]]=""),"",Table1[[#This Row],[Offer_Date]]-Table1[[#This Row],[Interview_Date]])</f>
        <v/>
      </c>
    </row>
    <row r="392" spans="1:2" x14ac:dyDescent="0.3">
      <c r="A392">
        <f>Table1[[#This Row],[Interview_Date]]-Table1[[#This Row],[Application_Date]]</f>
        <v>7</v>
      </c>
      <c r="B392">
        <f>IF(OR(Table1[[#This Row],[Offer_Date]]="",Table1[[#This Row],[Interview_Date]]=""),"",Table1[[#This Row],[Offer_Date]]-Table1[[#This Row],[Interview_Date]])</f>
        <v>5</v>
      </c>
    </row>
    <row r="393" spans="1:2" x14ac:dyDescent="0.3">
      <c r="A393">
        <f>Table1[[#This Row],[Interview_Date]]-Table1[[#This Row],[Application_Date]]</f>
        <v>4</v>
      </c>
      <c r="B393" t="str">
        <f>IF(OR(Table1[[#This Row],[Offer_Date]]="",Table1[[#This Row],[Interview_Date]]=""),"",Table1[[#This Row],[Offer_Date]]-Table1[[#This Row],[Interview_Date]])</f>
        <v/>
      </c>
    </row>
    <row r="394" spans="1:2" x14ac:dyDescent="0.3">
      <c r="A394">
        <f>Table1[[#This Row],[Interview_Date]]-Table1[[#This Row],[Application_Date]]</f>
        <v>3</v>
      </c>
      <c r="B394">
        <f>IF(OR(Table1[[#This Row],[Offer_Date]]="",Table1[[#This Row],[Interview_Date]]=""),"",Table1[[#This Row],[Offer_Date]]-Table1[[#This Row],[Interview_Date]])</f>
        <v>2</v>
      </c>
    </row>
    <row r="395" spans="1:2" x14ac:dyDescent="0.3">
      <c r="A395">
        <f>Table1[[#This Row],[Interview_Date]]-Table1[[#This Row],[Application_Date]]</f>
        <v>13</v>
      </c>
      <c r="B395" t="str">
        <f>IF(OR(Table1[[#This Row],[Offer_Date]]="",Table1[[#This Row],[Interview_Date]]=""),"",Table1[[#This Row],[Offer_Date]]-Table1[[#This Row],[Interview_Date]])</f>
        <v/>
      </c>
    </row>
    <row r="396" spans="1:2" x14ac:dyDescent="0.3">
      <c r="A396">
        <f>Table1[[#This Row],[Interview_Date]]-Table1[[#This Row],[Application_Date]]</f>
        <v>8</v>
      </c>
      <c r="B396">
        <f>IF(OR(Table1[[#This Row],[Offer_Date]]="",Table1[[#This Row],[Interview_Date]]=""),"",Table1[[#This Row],[Offer_Date]]-Table1[[#This Row],[Interview_Date]])</f>
        <v>7</v>
      </c>
    </row>
    <row r="397" spans="1:2" x14ac:dyDescent="0.3">
      <c r="A397">
        <f>Table1[[#This Row],[Interview_Date]]-Table1[[#This Row],[Application_Date]]</f>
        <v>13</v>
      </c>
      <c r="B397" t="str">
        <f>IF(OR(Table1[[#This Row],[Offer_Date]]="",Table1[[#This Row],[Interview_Date]]=""),"",Table1[[#This Row],[Offer_Date]]-Table1[[#This Row],[Interview_Date]])</f>
        <v/>
      </c>
    </row>
    <row r="398" spans="1:2" x14ac:dyDescent="0.3">
      <c r="A398">
        <f>Table1[[#This Row],[Interview_Date]]-Table1[[#This Row],[Application_Date]]</f>
        <v>8</v>
      </c>
      <c r="B398">
        <f>IF(OR(Table1[[#This Row],[Offer_Date]]="",Table1[[#This Row],[Interview_Date]]=""),"",Table1[[#This Row],[Offer_Date]]-Table1[[#This Row],[Interview_Date]])</f>
        <v>4</v>
      </c>
    </row>
    <row r="399" spans="1:2" x14ac:dyDescent="0.3">
      <c r="A399">
        <f>Table1[[#This Row],[Interview_Date]]-Table1[[#This Row],[Application_Date]]</f>
        <v>6</v>
      </c>
      <c r="B399" t="str">
        <f>IF(OR(Table1[[#This Row],[Offer_Date]]="",Table1[[#This Row],[Interview_Date]]=""),"",Table1[[#This Row],[Offer_Date]]-Table1[[#This Row],[Interview_Date]])</f>
        <v/>
      </c>
    </row>
    <row r="400" spans="1:2" x14ac:dyDescent="0.3">
      <c r="A400">
        <f>Table1[[#This Row],[Interview_Date]]-Table1[[#This Row],[Application_Date]]</f>
        <v>12</v>
      </c>
      <c r="B400" t="str">
        <f>IF(OR(Table1[[#This Row],[Offer_Date]]="",Table1[[#This Row],[Interview_Date]]=""),"",Table1[[#This Row],[Offer_Date]]-Table1[[#This Row],[Interview_Date]])</f>
        <v/>
      </c>
    </row>
    <row r="401" spans="1:2" x14ac:dyDescent="0.3">
      <c r="A401">
        <f>Table1[[#This Row],[Interview_Date]]-Table1[[#This Row],[Application_Date]]</f>
        <v>11</v>
      </c>
      <c r="B401" t="str">
        <f>IF(OR(Table1[[#This Row],[Offer_Date]]="",Table1[[#This Row],[Interview_Date]]=""),"",Table1[[#This Row],[Offer_Date]]-Table1[[#This Row],[Interview_Date]])</f>
        <v/>
      </c>
    </row>
    <row r="402" spans="1:2" x14ac:dyDescent="0.3">
      <c r="A402">
        <f>Table1[[#This Row],[Interview_Date]]-Table1[[#This Row],[Application_Date]]</f>
        <v>12</v>
      </c>
      <c r="B402">
        <f>IF(OR(Table1[[#This Row],[Offer_Date]]="",Table1[[#This Row],[Interview_Date]]=""),"",Table1[[#This Row],[Offer_Date]]-Table1[[#This Row],[Interview_Date]])</f>
        <v>2</v>
      </c>
    </row>
    <row r="403" spans="1:2" x14ac:dyDescent="0.3">
      <c r="A403">
        <f>Table1[[#This Row],[Interview_Date]]-Table1[[#This Row],[Application_Date]]</f>
        <v>9</v>
      </c>
      <c r="B403" t="str">
        <f>IF(OR(Table1[[#This Row],[Offer_Date]]="",Table1[[#This Row],[Interview_Date]]=""),"",Table1[[#This Row],[Offer_Date]]-Table1[[#This Row],[Interview_Date]])</f>
        <v/>
      </c>
    </row>
    <row r="404" spans="1:2" x14ac:dyDescent="0.3">
      <c r="A404">
        <f>Table1[[#This Row],[Interview_Date]]-Table1[[#This Row],[Application_Date]]</f>
        <v>13</v>
      </c>
      <c r="B404">
        <f>IF(OR(Table1[[#This Row],[Offer_Date]]="",Table1[[#This Row],[Interview_Date]]=""),"",Table1[[#This Row],[Offer_Date]]-Table1[[#This Row],[Interview_Date]])</f>
        <v>5</v>
      </c>
    </row>
    <row r="405" spans="1:2" x14ac:dyDescent="0.3">
      <c r="A405">
        <f>Table1[[#This Row],[Interview_Date]]-Table1[[#This Row],[Application_Date]]</f>
        <v>3</v>
      </c>
      <c r="B405" t="str">
        <f>IF(OR(Table1[[#This Row],[Offer_Date]]="",Table1[[#This Row],[Interview_Date]]=""),"",Table1[[#This Row],[Offer_Date]]-Table1[[#This Row],[Interview_Date]])</f>
        <v/>
      </c>
    </row>
    <row r="406" spans="1:2" x14ac:dyDescent="0.3">
      <c r="A406">
        <f>Table1[[#This Row],[Interview_Date]]-Table1[[#This Row],[Application_Date]]</f>
        <v>13</v>
      </c>
      <c r="B406" t="str">
        <f>IF(OR(Table1[[#This Row],[Offer_Date]]="",Table1[[#This Row],[Interview_Date]]=""),"",Table1[[#This Row],[Offer_Date]]-Table1[[#This Row],[Interview_Date]])</f>
        <v/>
      </c>
    </row>
    <row r="407" spans="1:2" x14ac:dyDescent="0.3">
      <c r="A407">
        <f>Table1[[#This Row],[Interview_Date]]-Table1[[#This Row],[Application_Date]]</f>
        <v>8</v>
      </c>
      <c r="B407" t="str">
        <f>IF(OR(Table1[[#This Row],[Offer_Date]]="",Table1[[#This Row],[Interview_Date]]=""),"",Table1[[#This Row],[Offer_Date]]-Table1[[#This Row],[Interview_Date]])</f>
        <v/>
      </c>
    </row>
    <row r="408" spans="1:2" x14ac:dyDescent="0.3">
      <c r="A408">
        <f>Table1[[#This Row],[Interview_Date]]-Table1[[#This Row],[Application_Date]]</f>
        <v>10</v>
      </c>
      <c r="B408" t="str">
        <f>IF(OR(Table1[[#This Row],[Offer_Date]]="",Table1[[#This Row],[Interview_Date]]=""),"",Table1[[#This Row],[Offer_Date]]-Table1[[#This Row],[Interview_Date]])</f>
        <v/>
      </c>
    </row>
    <row r="409" spans="1:2" x14ac:dyDescent="0.3">
      <c r="A409">
        <f>Table1[[#This Row],[Interview_Date]]-Table1[[#This Row],[Application_Date]]</f>
        <v>10</v>
      </c>
      <c r="B409">
        <f>IF(OR(Table1[[#This Row],[Offer_Date]]="",Table1[[#This Row],[Interview_Date]]=""),"",Table1[[#This Row],[Offer_Date]]-Table1[[#This Row],[Interview_Date]])</f>
        <v>7</v>
      </c>
    </row>
    <row r="410" spans="1:2" x14ac:dyDescent="0.3">
      <c r="A410">
        <f>Table1[[#This Row],[Interview_Date]]-Table1[[#This Row],[Application_Date]]</f>
        <v>5</v>
      </c>
      <c r="B410" t="str">
        <f>IF(OR(Table1[[#This Row],[Offer_Date]]="",Table1[[#This Row],[Interview_Date]]=""),"",Table1[[#This Row],[Offer_Date]]-Table1[[#This Row],[Interview_Date]])</f>
        <v/>
      </c>
    </row>
    <row r="411" spans="1:2" x14ac:dyDescent="0.3">
      <c r="A411">
        <f>Table1[[#This Row],[Interview_Date]]-Table1[[#This Row],[Application_Date]]</f>
        <v>12</v>
      </c>
      <c r="B411">
        <f>IF(OR(Table1[[#This Row],[Offer_Date]]="",Table1[[#This Row],[Interview_Date]]=""),"",Table1[[#This Row],[Offer_Date]]-Table1[[#This Row],[Interview_Date]])</f>
        <v>7</v>
      </c>
    </row>
    <row r="412" spans="1:2" x14ac:dyDescent="0.3">
      <c r="A412">
        <f>Table1[[#This Row],[Interview_Date]]-Table1[[#This Row],[Application_Date]]</f>
        <v>4</v>
      </c>
      <c r="B412">
        <f>IF(OR(Table1[[#This Row],[Offer_Date]]="",Table1[[#This Row],[Interview_Date]]=""),"",Table1[[#This Row],[Offer_Date]]-Table1[[#This Row],[Interview_Date]])</f>
        <v>2</v>
      </c>
    </row>
    <row r="413" spans="1:2" x14ac:dyDescent="0.3">
      <c r="A413">
        <f>Table1[[#This Row],[Interview_Date]]-Table1[[#This Row],[Application_Date]]</f>
        <v>11</v>
      </c>
      <c r="B413" t="str">
        <f>IF(OR(Table1[[#This Row],[Offer_Date]]="",Table1[[#This Row],[Interview_Date]]=""),"",Table1[[#This Row],[Offer_Date]]-Table1[[#This Row],[Interview_Date]])</f>
        <v/>
      </c>
    </row>
    <row r="414" spans="1:2" x14ac:dyDescent="0.3">
      <c r="A414">
        <f>Table1[[#This Row],[Interview_Date]]-Table1[[#This Row],[Application_Date]]</f>
        <v>6</v>
      </c>
      <c r="B414">
        <f>IF(OR(Table1[[#This Row],[Offer_Date]]="",Table1[[#This Row],[Interview_Date]]=""),"",Table1[[#This Row],[Offer_Date]]-Table1[[#This Row],[Interview_Date]])</f>
        <v>5</v>
      </c>
    </row>
    <row r="415" spans="1:2" x14ac:dyDescent="0.3">
      <c r="A415">
        <f>Table1[[#This Row],[Interview_Date]]-Table1[[#This Row],[Application_Date]]</f>
        <v>15</v>
      </c>
      <c r="B415">
        <f>IF(OR(Table1[[#This Row],[Offer_Date]]="",Table1[[#This Row],[Interview_Date]]=""),"",Table1[[#This Row],[Offer_Date]]-Table1[[#This Row],[Interview_Date]])</f>
        <v>4</v>
      </c>
    </row>
    <row r="416" spans="1:2" x14ac:dyDescent="0.3">
      <c r="A416">
        <f>Table1[[#This Row],[Interview_Date]]-Table1[[#This Row],[Application_Date]]</f>
        <v>3</v>
      </c>
      <c r="B416" t="str">
        <f>IF(OR(Table1[[#This Row],[Offer_Date]]="",Table1[[#This Row],[Interview_Date]]=""),"",Table1[[#This Row],[Offer_Date]]-Table1[[#This Row],[Interview_Date]])</f>
        <v/>
      </c>
    </row>
    <row r="417" spans="1:2" x14ac:dyDescent="0.3">
      <c r="A417">
        <f>Table1[[#This Row],[Interview_Date]]-Table1[[#This Row],[Application_Date]]</f>
        <v>9</v>
      </c>
      <c r="B417">
        <f>IF(OR(Table1[[#This Row],[Offer_Date]]="",Table1[[#This Row],[Interview_Date]]=""),"",Table1[[#This Row],[Offer_Date]]-Table1[[#This Row],[Interview_Date]])</f>
        <v>3</v>
      </c>
    </row>
    <row r="418" spans="1:2" x14ac:dyDescent="0.3">
      <c r="A418">
        <f>Table1[[#This Row],[Interview_Date]]-Table1[[#This Row],[Application_Date]]</f>
        <v>3</v>
      </c>
      <c r="B418" t="str">
        <f>IF(OR(Table1[[#This Row],[Offer_Date]]="",Table1[[#This Row],[Interview_Date]]=""),"",Table1[[#This Row],[Offer_Date]]-Table1[[#This Row],[Interview_Date]])</f>
        <v/>
      </c>
    </row>
    <row r="419" spans="1:2" x14ac:dyDescent="0.3">
      <c r="A419">
        <f>Table1[[#This Row],[Interview_Date]]-Table1[[#This Row],[Application_Date]]</f>
        <v>10</v>
      </c>
      <c r="B419">
        <f>IF(OR(Table1[[#This Row],[Offer_Date]]="",Table1[[#This Row],[Interview_Date]]=""),"",Table1[[#This Row],[Offer_Date]]-Table1[[#This Row],[Interview_Date]])</f>
        <v>4</v>
      </c>
    </row>
    <row r="420" spans="1:2" x14ac:dyDescent="0.3">
      <c r="A420">
        <f>Table1[[#This Row],[Interview_Date]]-Table1[[#This Row],[Application_Date]]</f>
        <v>5</v>
      </c>
      <c r="B420" t="str">
        <f>IF(OR(Table1[[#This Row],[Offer_Date]]="",Table1[[#This Row],[Interview_Date]]=""),"",Table1[[#This Row],[Offer_Date]]-Table1[[#This Row],[Interview_Date]])</f>
        <v/>
      </c>
    </row>
    <row r="421" spans="1:2" x14ac:dyDescent="0.3">
      <c r="A421">
        <f>Table1[[#This Row],[Interview_Date]]-Table1[[#This Row],[Application_Date]]</f>
        <v>6</v>
      </c>
      <c r="B421" t="str">
        <f>IF(OR(Table1[[#This Row],[Offer_Date]]="",Table1[[#This Row],[Interview_Date]]=""),"",Table1[[#This Row],[Offer_Date]]-Table1[[#This Row],[Interview_Date]])</f>
        <v/>
      </c>
    </row>
    <row r="422" spans="1:2" x14ac:dyDescent="0.3">
      <c r="A422">
        <f>Table1[[#This Row],[Interview_Date]]-Table1[[#This Row],[Application_Date]]</f>
        <v>14</v>
      </c>
      <c r="B422">
        <f>IF(OR(Table1[[#This Row],[Offer_Date]]="",Table1[[#This Row],[Interview_Date]]=""),"",Table1[[#This Row],[Offer_Date]]-Table1[[#This Row],[Interview_Date]])</f>
        <v>3</v>
      </c>
    </row>
    <row r="423" spans="1:2" x14ac:dyDescent="0.3">
      <c r="A423">
        <f>Table1[[#This Row],[Interview_Date]]-Table1[[#This Row],[Application_Date]]</f>
        <v>10</v>
      </c>
      <c r="B423">
        <f>IF(OR(Table1[[#This Row],[Offer_Date]]="",Table1[[#This Row],[Interview_Date]]=""),"",Table1[[#This Row],[Offer_Date]]-Table1[[#This Row],[Interview_Date]])</f>
        <v>5</v>
      </c>
    </row>
    <row r="424" spans="1:2" x14ac:dyDescent="0.3">
      <c r="A424">
        <f>Table1[[#This Row],[Interview_Date]]-Table1[[#This Row],[Application_Date]]</f>
        <v>6</v>
      </c>
      <c r="B424">
        <f>IF(OR(Table1[[#This Row],[Offer_Date]]="",Table1[[#This Row],[Interview_Date]]=""),"",Table1[[#This Row],[Offer_Date]]-Table1[[#This Row],[Interview_Date]])</f>
        <v>6</v>
      </c>
    </row>
    <row r="425" spans="1:2" x14ac:dyDescent="0.3">
      <c r="A425">
        <f>Table1[[#This Row],[Interview_Date]]-Table1[[#This Row],[Application_Date]]</f>
        <v>14</v>
      </c>
      <c r="B425" t="str">
        <f>IF(OR(Table1[[#This Row],[Offer_Date]]="",Table1[[#This Row],[Interview_Date]]=""),"",Table1[[#This Row],[Offer_Date]]-Table1[[#This Row],[Interview_Date]])</f>
        <v/>
      </c>
    </row>
    <row r="426" spans="1:2" x14ac:dyDescent="0.3">
      <c r="A426">
        <f>Table1[[#This Row],[Interview_Date]]-Table1[[#This Row],[Application_Date]]</f>
        <v>13</v>
      </c>
      <c r="B426">
        <f>IF(OR(Table1[[#This Row],[Offer_Date]]="",Table1[[#This Row],[Interview_Date]]=""),"",Table1[[#This Row],[Offer_Date]]-Table1[[#This Row],[Interview_Date]])</f>
        <v>6</v>
      </c>
    </row>
    <row r="427" spans="1:2" x14ac:dyDescent="0.3">
      <c r="A427">
        <f>Table1[[#This Row],[Interview_Date]]-Table1[[#This Row],[Application_Date]]</f>
        <v>4</v>
      </c>
      <c r="B427" t="str">
        <f>IF(OR(Table1[[#This Row],[Offer_Date]]="",Table1[[#This Row],[Interview_Date]]=""),"",Table1[[#This Row],[Offer_Date]]-Table1[[#This Row],[Interview_Date]])</f>
        <v/>
      </c>
    </row>
    <row r="428" spans="1:2" x14ac:dyDescent="0.3">
      <c r="A428">
        <f>Table1[[#This Row],[Interview_Date]]-Table1[[#This Row],[Application_Date]]</f>
        <v>14</v>
      </c>
      <c r="B428">
        <f>IF(OR(Table1[[#This Row],[Offer_Date]]="",Table1[[#This Row],[Interview_Date]]=""),"",Table1[[#This Row],[Offer_Date]]-Table1[[#This Row],[Interview_Date]])</f>
        <v>7</v>
      </c>
    </row>
    <row r="429" spans="1:2" x14ac:dyDescent="0.3">
      <c r="A429">
        <f>Table1[[#This Row],[Interview_Date]]-Table1[[#This Row],[Application_Date]]</f>
        <v>3</v>
      </c>
      <c r="B429">
        <f>IF(OR(Table1[[#This Row],[Offer_Date]]="",Table1[[#This Row],[Interview_Date]]=""),"",Table1[[#This Row],[Offer_Date]]-Table1[[#This Row],[Interview_Date]])</f>
        <v>4</v>
      </c>
    </row>
    <row r="430" spans="1:2" x14ac:dyDescent="0.3">
      <c r="A430">
        <f>Table1[[#This Row],[Interview_Date]]-Table1[[#This Row],[Application_Date]]</f>
        <v>15</v>
      </c>
      <c r="B430">
        <f>IF(OR(Table1[[#This Row],[Offer_Date]]="",Table1[[#This Row],[Interview_Date]]=""),"",Table1[[#This Row],[Offer_Date]]-Table1[[#This Row],[Interview_Date]])</f>
        <v>2</v>
      </c>
    </row>
    <row r="431" spans="1:2" x14ac:dyDescent="0.3">
      <c r="A431">
        <f>Table1[[#This Row],[Interview_Date]]-Table1[[#This Row],[Application_Date]]</f>
        <v>15</v>
      </c>
      <c r="B431" t="str">
        <f>IF(OR(Table1[[#This Row],[Offer_Date]]="",Table1[[#This Row],[Interview_Date]]=""),"",Table1[[#This Row],[Offer_Date]]-Table1[[#This Row],[Interview_Date]])</f>
        <v/>
      </c>
    </row>
    <row r="432" spans="1:2" x14ac:dyDescent="0.3">
      <c r="A432">
        <f>Table1[[#This Row],[Interview_Date]]-Table1[[#This Row],[Application_Date]]</f>
        <v>4</v>
      </c>
      <c r="B432">
        <f>IF(OR(Table1[[#This Row],[Offer_Date]]="",Table1[[#This Row],[Interview_Date]]=""),"",Table1[[#This Row],[Offer_Date]]-Table1[[#This Row],[Interview_Date]])</f>
        <v>3</v>
      </c>
    </row>
    <row r="433" spans="1:2" x14ac:dyDescent="0.3">
      <c r="A433">
        <f>Table1[[#This Row],[Interview_Date]]-Table1[[#This Row],[Application_Date]]</f>
        <v>11</v>
      </c>
      <c r="B433" t="str">
        <f>IF(OR(Table1[[#This Row],[Offer_Date]]="",Table1[[#This Row],[Interview_Date]]=""),"",Table1[[#This Row],[Offer_Date]]-Table1[[#This Row],[Interview_Date]])</f>
        <v/>
      </c>
    </row>
    <row r="434" spans="1:2" x14ac:dyDescent="0.3">
      <c r="A434">
        <f>Table1[[#This Row],[Interview_Date]]-Table1[[#This Row],[Application_Date]]</f>
        <v>11</v>
      </c>
      <c r="B434" t="str">
        <f>IF(OR(Table1[[#This Row],[Offer_Date]]="",Table1[[#This Row],[Interview_Date]]=""),"",Table1[[#This Row],[Offer_Date]]-Table1[[#This Row],[Interview_Date]])</f>
        <v/>
      </c>
    </row>
    <row r="435" spans="1:2" x14ac:dyDescent="0.3">
      <c r="A435">
        <f>Table1[[#This Row],[Interview_Date]]-Table1[[#This Row],[Application_Date]]</f>
        <v>3</v>
      </c>
      <c r="B435">
        <f>IF(OR(Table1[[#This Row],[Offer_Date]]="",Table1[[#This Row],[Interview_Date]]=""),"",Table1[[#This Row],[Offer_Date]]-Table1[[#This Row],[Interview_Date]])</f>
        <v>3</v>
      </c>
    </row>
    <row r="436" spans="1:2" x14ac:dyDescent="0.3">
      <c r="A436">
        <f>Table1[[#This Row],[Interview_Date]]-Table1[[#This Row],[Application_Date]]</f>
        <v>7</v>
      </c>
      <c r="B436">
        <f>IF(OR(Table1[[#This Row],[Offer_Date]]="",Table1[[#This Row],[Interview_Date]]=""),"",Table1[[#This Row],[Offer_Date]]-Table1[[#This Row],[Interview_Date]])</f>
        <v>2</v>
      </c>
    </row>
    <row r="437" spans="1:2" x14ac:dyDescent="0.3">
      <c r="A437">
        <f>Table1[[#This Row],[Interview_Date]]-Table1[[#This Row],[Application_Date]]</f>
        <v>9</v>
      </c>
      <c r="B437" t="str">
        <f>IF(OR(Table1[[#This Row],[Offer_Date]]="",Table1[[#This Row],[Interview_Date]]=""),"",Table1[[#This Row],[Offer_Date]]-Table1[[#This Row],[Interview_Date]])</f>
        <v/>
      </c>
    </row>
    <row r="438" spans="1:2" x14ac:dyDescent="0.3">
      <c r="A438">
        <f>Table1[[#This Row],[Interview_Date]]-Table1[[#This Row],[Application_Date]]</f>
        <v>10</v>
      </c>
      <c r="B438">
        <f>IF(OR(Table1[[#This Row],[Offer_Date]]="",Table1[[#This Row],[Interview_Date]]=""),"",Table1[[#This Row],[Offer_Date]]-Table1[[#This Row],[Interview_Date]])</f>
        <v>5</v>
      </c>
    </row>
    <row r="439" spans="1:2" x14ac:dyDescent="0.3">
      <c r="A439">
        <f>Table1[[#This Row],[Interview_Date]]-Table1[[#This Row],[Application_Date]]</f>
        <v>14</v>
      </c>
      <c r="B439">
        <f>IF(OR(Table1[[#This Row],[Offer_Date]]="",Table1[[#This Row],[Interview_Date]]=""),"",Table1[[#This Row],[Offer_Date]]-Table1[[#This Row],[Interview_Date]])</f>
        <v>7</v>
      </c>
    </row>
    <row r="440" spans="1:2" x14ac:dyDescent="0.3">
      <c r="A440">
        <f>Table1[[#This Row],[Interview_Date]]-Table1[[#This Row],[Application_Date]]</f>
        <v>7</v>
      </c>
      <c r="B440" t="str">
        <f>IF(OR(Table1[[#This Row],[Offer_Date]]="",Table1[[#This Row],[Interview_Date]]=""),"",Table1[[#This Row],[Offer_Date]]-Table1[[#This Row],[Interview_Date]])</f>
        <v/>
      </c>
    </row>
    <row r="441" spans="1:2" x14ac:dyDescent="0.3">
      <c r="A441">
        <f>Table1[[#This Row],[Interview_Date]]-Table1[[#This Row],[Application_Date]]</f>
        <v>6</v>
      </c>
      <c r="B441">
        <f>IF(OR(Table1[[#This Row],[Offer_Date]]="",Table1[[#This Row],[Interview_Date]]=""),"",Table1[[#This Row],[Offer_Date]]-Table1[[#This Row],[Interview_Date]])</f>
        <v>5</v>
      </c>
    </row>
    <row r="442" spans="1:2" x14ac:dyDescent="0.3">
      <c r="A442">
        <f>Table1[[#This Row],[Interview_Date]]-Table1[[#This Row],[Application_Date]]</f>
        <v>13</v>
      </c>
      <c r="B442" t="str">
        <f>IF(OR(Table1[[#This Row],[Offer_Date]]="",Table1[[#This Row],[Interview_Date]]=""),"",Table1[[#This Row],[Offer_Date]]-Table1[[#This Row],[Interview_Date]])</f>
        <v/>
      </c>
    </row>
    <row r="443" spans="1:2" x14ac:dyDescent="0.3">
      <c r="A443">
        <f>Table1[[#This Row],[Interview_Date]]-Table1[[#This Row],[Application_Date]]</f>
        <v>10</v>
      </c>
      <c r="B443">
        <f>IF(OR(Table1[[#This Row],[Offer_Date]]="",Table1[[#This Row],[Interview_Date]]=""),"",Table1[[#This Row],[Offer_Date]]-Table1[[#This Row],[Interview_Date]])</f>
        <v>2</v>
      </c>
    </row>
    <row r="444" spans="1:2" x14ac:dyDescent="0.3">
      <c r="A444">
        <f>Table1[[#This Row],[Interview_Date]]-Table1[[#This Row],[Application_Date]]</f>
        <v>12</v>
      </c>
      <c r="B444">
        <f>IF(OR(Table1[[#This Row],[Offer_Date]]="",Table1[[#This Row],[Interview_Date]]=""),"",Table1[[#This Row],[Offer_Date]]-Table1[[#This Row],[Interview_Date]])</f>
        <v>3</v>
      </c>
    </row>
    <row r="445" spans="1:2" x14ac:dyDescent="0.3">
      <c r="A445">
        <f>Table1[[#This Row],[Interview_Date]]-Table1[[#This Row],[Application_Date]]</f>
        <v>3</v>
      </c>
      <c r="B445" t="str">
        <f>IF(OR(Table1[[#This Row],[Offer_Date]]="",Table1[[#This Row],[Interview_Date]]=""),"",Table1[[#This Row],[Offer_Date]]-Table1[[#This Row],[Interview_Date]])</f>
        <v/>
      </c>
    </row>
    <row r="446" spans="1:2" x14ac:dyDescent="0.3">
      <c r="A446">
        <f>Table1[[#This Row],[Interview_Date]]-Table1[[#This Row],[Application_Date]]</f>
        <v>8</v>
      </c>
      <c r="B446">
        <f>IF(OR(Table1[[#This Row],[Offer_Date]]="",Table1[[#This Row],[Interview_Date]]=""),"",Table1[[#This Row],[Offer_Date]]-Table1[[#This Row],[Interview_Date]])</f>
        <v>7</v>
      </c>
    </row>
    <row r="447" spans="1:2" x14ac:dyDescent="0.3">
      <c r="A447">
        <f>Table1[[#This Row],[Interview_Date]]-Table1[[#This Row],[Application_Date]]</f>
        <v>8</v>
      </c>
      <c r="B447">
        <f>IF(OR(Table1[[#This Row],[Offer_Date]]="",Table1[[#This Row],[Interview_Date]]=""),"",Table1[[#This Row],[Offer_Date]]-Table1[[#This Row],[Interview_Date]])</f>
        <v>2</v>
      </c>
    </row>
    <row r="448" spans="1:2" x14ac:dyDescent="0.3">
      <c r="A448">
        <f>Table1[[#This Row],[Interview_Date]]-Table1[[#This Row],[Application_Date]]</f>
        <v>6</v>
      </c>
      <c r="B448">
        <f>IF(OR(Table1[[#This Row],[Offer_Date]]="",Table1[[#This Row],[Interview_Date]]=""),"",Table1[[#This Row],[Offer_Date]]-Table1[[#This Row],[Interview_Date]])</f>
        <v>6</v>
      </c>
    </row>
    <row r="449" spans="1:2" x14ac:dyDescent="0.3">
      <c r="A449">
        <f>Table1[[#This Row],[Interview_Date]]-Table1[[#This Row],[Application_Date]]</f>
        <v>14</v>
      </c>
      <c r="B449">
        <f>IF(OR(Table1[[#This Row],[Offer_Date]]="",Table1[[#This Row],[Interview_Date]]=""),"",Table1[[#This Row],[Offer_Date]]-Table1[[#This Row],[Interview_Date]])</f>
        <v>2</v>
      </c>
    </row>
    <row r="450" spans="1:2" x14ac:dyDescent="0.3">
      <c r="A450">
        <f>Table1[[#This Row],[Interview_Date]]-Table1[[#This Row],[Application_Date]]</f>
        <v>15</v>
      </c>
      <c r="B450" t="str">
        <f>IF(OR(Table1[[#This Row],[Offer_Date]]="",Table1[[#This Row],[Interview_Date]]=""),"",Table1[[#This Row],[Offer_Date]]-Table1[[#This Row],[Interview_Date]])</f>
        <v/>
      </c>
    </row>
    <row r="451" spans="1:2" x14ac:dyDescent="0.3">
      <c r="A451">
        <f>Table1[[#This Row],[Interview_Date]]-Table1[[#This Row],[Application_Date]]</f>
        <v>8</v>
      </c>
      <c r="B451" t="str">
        <f>IF(OR(Table1[[#This Row],[Offer_Date]]="",Table1[[#This Row],[Interview_Date]]=""),"",Table1[[#This Row],[Offer_Date]]-Table1[[#This Row],[Interview_Date]])</f>
        <v/>
      </c>
    </row>
    <row r="452" spans="1:2" x14ac:dyDescent="0.3">
      <c r="A452">
        <f>Table1[[#This Row],[Interview_Date]]-Table1[[#This Row],[Application_Date]]</f>
        <v>13</v>
      </c>
      <c r="B452" t="str">
        <f>IF(OR(Table1[[#This Row],[Offer_Date]]="",Table1[[#This Row],[Interview_Date]]=""),"",Table1[[#This Row],[Offer_Date]]-Table1[[#This Row],[Interview_Date]])</f>
        <v/>
      </c>
    </row>
    <row r="453" spans="1:2" x14ac:dyDescent="0.3">
      <c r="A453">
        <f>Table1[[#This Row],[Interview_Date]]-Table1[[#This Row],[Application_Date]]</f>
        <v>9</v>
      </c>
      <c r="B453" t="str">
        <f>IF(OR(Table1[[#This Row],[Offer_Date]]="",Table1[[#This Row],[Interview_Date]]=""),"",Table1[[#This Row],[Offer_Date]]-Table1[[#This Row],[Interview_Date]])</f>
        <v/>
      </c>
    </row>
    <row r="454" spans="1:2" x14ac:dyDescent="0.3">
      <c r="A454">
        <f>Table1[[#This Row],[Interview_Date]]-Table1[[#This Row],[Application_Date]]</f>
        <v>12</v>
      </c>
      <c r="B454" t="str">
        <f>IF(OR(Table1[[#This Row],[Offer_Date]]="",Table1[[#This Row],[Interview_Date]]=""),"",Table1[[#This Row],[Offer_Date]]-Table1[[#This Row],[Interview_Date]])</f>
        <v/>
      </c>
    </row>
    <row r="455" spans="1:2" x14ac:dyDescent="0.3">
      <c r="A455">
        <f>Table1[[#This Row],[Interview_Date]]-Table1[[#This Row],[Application_Date]]</f>
        <v>6</v>
      </c>
      <c r="B455">
        <f>IF(OR(Table1[[#This Row],[Offer_Date]]="",Table1[[#This Row],[Interview_Date]]=""),"",Table1[[#This Row],[Offer_Date]]-Table1[[#This Row],[Interview_Date]])</f>
        <v>6</v>
      </c>
    </row>
    <row r="456" spans="1:2" x14ac:dyDescent="0.3">
      <c r="A456">
        <f>Table1[[#This Row],[Interview_Date]]-Table1[[#This Row],[Application_Date]]</f>
        <v>15</v>
      </c>
      <c r="B456" t="str">
        <f>IF(OR(Table1[[#This Row],[Offer_Date]]="",Table1[[#This Row],[Interview_Date]]=""),"",Table1[[#This Row],[Offer_Date]]-Table1[[#This Row],[Interview_Date]])</f>
        <v/>
      </c>
    </row>
    <row r="457" spans="1:2" x14ac:dyDescent="0.3">
      <c r="A457">
        <f>Table1[[#This Row],[Interview_Date]]-Table1[[#This Row],[Application_Date]]</f>
        <v>6</v>
      </c>
      <c r="B457" t="str">
        <f>IF(OR(Table1[[#This Row],[Offer_Date]]="",Table1[[#This Row],[Interview_Date]]=""),"",Table1[[#This Row],[Offer_Date]]-Table1[[#This Row],[Interview_Date]])</f>
        <v/>
      </c>
    </row>
    <row r="458" spans="1:2" x14ac:dyDescent="0.3">
      <c r="A458">
        <f>Table1[[#This Row],[Interview_Date]]-Table1[[#This Row],[Application_Date]]</f>
        <v>14</v>
      </c>
      <c r="B458">
        <f>IF(OR(Table1[[#This Row],[Offer_Date]]="",Table1[[#This Row],[Interview_Date]]=""),"",Table1[[#This Row],[Offer_Date]]-Table1[[#This Row],[Interview_Date]])</f>
        <v>5</v>
      </c>
    </row>
    <row r="459" spans="1:2" x14ac:dyDescent="0.3">
      <c r="A459">
        <f>Table1[[#This Row],[Interview_Date]]-Table1[[#This Row],[Application_Date]]</f>
        <v>15</v>
      </c>
      <c r="B459" t="str">
        <f>IF(OR(Table1[[#This Row],[Offer_Date]]="",Table1[[#This Row],[Interview_Date]]=""),"",Table1[[#This Row],[Offer_Date]]-Table1[[#This Row],[Interview_Date]])</f>
        <v/>
      </c>
    </row>
    <row r="460" spans="1:2" x14ac:dyDescent="0.3">
      <c r="A460">
        <f>Table1[[#This Row],[Interview_Date]]-Table1[[#This Row],[Application_Date]]</f>
        <v>13</v>
      </c>
      <c r="B460">
        <f>IF(OR(Table1[[#This Row],[Offer_Date]]="",Table1[[#This Row],[Interview_Date]]=""),"",Table1[[#This Row],[Offer_Date]]-Table1[[#This Row],[Interview_Date]])</f>
        <v>3</v>
      </c>
    </row>
    <row r="461" spans="1:2" x14ac:dyDescent="0.3">
      <c r="A461">
        <f>Table1[[#This Row],[Interview_Date]]-Table1[[#This Row],[Application_Date]]</f>
        <v>15</v>
      </c>
      <c r="B461" t="str">
        <f>IF(OR(Table1[[#This Row],[Offer_Date]]="",Table1[[#This Row],[Interview_Date]]=""),"",Table1[[#This Row],[Offer_Date]]-Table1[[#This Row],[Interview_Date]])</f>
        <v/>
      </c>
    </row>
    <row r="462" spans="1:2" x14ac:dyDescent="0.3">
      <c r="A462">
        <f>Table1[[#This Row],[Interview_Date]]-Table1[[#This Row],[Application_Date]]</f>
        <v>5</v>
      </c>
      <c r="B462">
        <f>IF(OR(Table1[[#This Row],[Offer_Date]]="",Table1[[#This Row],[Interview_Date]]=""),"",Table1[[#This Row],[Offer_Date]]-Table1[[#This Row],[Interview_Date]])</f>
        <v>5</v>
      </c>
    </row>
    <row r="463" spans="1:2" x14ac:dyDescent="0.3">
      <c r="A463">
        <f>Table1[[#This Row],[Interview_Date]]-Table1[[#This Row],[Application_Date]]</f>
        <v>15</v>
      </c>
      <c r="B463" t="str">
        <f>IF(OR(Table1[[#This Row],[Offer_Date]]="",Table1[[#This Row],[Interview_Date]]=""),"",Table1[[#This Row],[Offer_Date]]-Table1[[#This Row],[Interview_Date]])</f>
        <v/>
      </c>
    </row>
    <row r="464" spans="1:2" x14ac:dyDescent="0.3">
      <c r="A464">
        <f>Table1[[#This Row],[Interview_Date]]-Table1[[#This Row],[Application_Date]]</f>
        <v>4</v>
      </c>
      <c r="B464" t="str">
        <f>IF(OR(Table1[[#This Row],[Offer_Date]]="",Table1[[#This Row],[Interview_Date]]=""),"",Table1[[#This Row],[Offer_Date]]-Table1[[#This Row],[Interview_Date]])</f>
        <v/>
      </c>
    </row>
    <row r="465" spans="1:2" x14ac:dyDescent="0.3">
      <c r="A465">
        <f>Table1[[#This Row],[Interview_Date]]-Table1[[#This Row],[Application_Date]]</f>
        <v>10</v>
      </c>
      <c r="B465">
        <f>IF(OR(Table1[[#This Row],[Offer_Date]]="",Table1[[#This Row],[Interview_Date]]=""),"",Table1[[#This Row],[Offer_Date]]-Table1[[#This Row],[Interview_Date]])</f>
        <v>7</v>
      </c>
    </row>
    <row r="466" spans="1:2" x14ac:dyDescent="0.3">
      <c r="A466">
        <f>Table1[[#This Row],[Interview_Date]]-Table1[[#This Row],[Application_Date]]</f>
        <v>4</v>
      </c>
      <c r="B466">
        <f>IF(OR(Table1[[#This Row],[Offer_Date]]="",Table1[[#This Row],[Interview_Date]]=""),"",Table1[[#This Row],[Offer_Date]]-Table1[[#This Row],[Interview_Date]])</f>
        <v>4</v>
      </c>
    </row>
    <row r="467" spans="1:2" x14ac:dyDescent="0.3">
      <c r="A467">
        <f>Table1[[#This Row],[Interview_Date]]-Table1[[#This Row],[Application_Date]]</f>
        <v>5</v>
      </c>
      <c r="B467" t="str">
        <f>IF(OR(Table1[[#This Row],[Offer_Date]]="",Table1[[#This Row],[Interview_Date]]=""),"",Table1[[#This Row],[Offer_Date]]-Table1[[#This Row],[Interview_Date]])</f>
        <v/>
      </c>
    </row>
    <row r="468" spans="1:2" x14ac:dyDescent="0.3">
      <c r="A468">
        <f>Table1[[#This Row],[Interview_Date]]-Table1[[#This Row],[Application_Date]]</f>
        <v>11</v>
      </c>
      <c r="B468" t="str">
        <f>IF(OR(Table1[[#This Row],[Offer_Date]]="",Table1[[#This Row],[Interview_Date]]=""),"",Table1[[#This Row],[Offer_Date]]-Table1[[#This Row],[Interview_Date]])</f>
        <v/>
      </c>
    </row>
    <row r="469" spans="1:2" x14ac:dyDescent="0.3">
      <c r="A469">
        <f>Table1[[#This Row],[Interview_Date]]-Table1[[#This Row],[Application_Date]]</f>
        <v>7</v>
      </c>
      <c r="B469" t="str">
        <f>IF(OR(Table1[[#This Row],[Offer_Date]]="",Table1[[#This Row],[Interview_Date]]=""),"",Table1[[#This Row],[Offer_Date]]-Table1[[#This Row],[Interview_Date]])</f>
        <v/>
      </c>
    </row>
    <row r="470" spans="1:2" x14ac:dyDescent="0.3">
      <c r="A470">
        <f>Table1[[#This Row],[Interview_Date]]-Table1[[#This Row],[Application_Date]]</f>
        <v>10</v>
      </c>
      <c r="B470">
        <f>IF(OR(Table1[[#This Row],[Offer_Date]]="",Table1[[#This Row],[Interview_Date]]=""),"",Table1[[#This Row],[Offer_Date]]-Table1[[#This Row],[Interview_Date]])</f>
        <v>4</v>
      </c>
    </row>
    <row r="471" spans="1:2" x14ac:dyDescent="0.3">
      <c r="A471">
        <f>Table1[[#This Row],[Interview_Date]]-Table1[[#This Row],[Application_Date]]</f>
        <v>5</v>
      </c>
      <c r="B471">
        <f>IF(OR(Table1[[#This Row],[Offer_Date]]="",Table1[[#This Row],[Interview_Date]]=""),"",Table1[[#This Row],[Offer_Date]]-Table1[[#This Row],[Interview_Date]])</f>
        <v>5</v>
      </c>
    </row>
    <row r="472" spans="1:2" x14ac:dyDescent="0.3">
      <c r="A472">
        <f>Table1[[#This Row],[Interview_Date]]-Table1[[#This Row],[Application_Date]]</f>
        <v>6</v>
      </c>
      <c r="B472">
        <f>IF(OR(Table1[[#This Row],[Offer_Date]]="",Table1[[#This Row],[Interview_Date]]=""),"",Table1[[#This Row],[Offer_Date]]-Table1[[#This Row],[Interview_Date]])</f>
        <v>5</v>
      </c>
    </row>
    <row r="473" spans="1:2" x14ac:dyDescent="0.3">
      <c r="A473">
        <f>Table1[[#This Row],[Interview_Date]]-Table1[[#This Row],[Application_Date]]</f>
        <v>14</v>
      </c>
      <c r="B473">
        <f>IF(OR(Table1[[#This Row],[Offer_Date]]="",Table1[[#This Row],[Interview_Date]]=""),"",Table1[[#This Row],[Offer_Date]]-Table1[[#This Row],[Interview_Date]])</f>
        <v>3</v>
      </c>
    </row>
    <row r="474" spans="1:2" x14ac:dyDescent="0.3">
      <c r="A474">
        <f>Table1[[#This Row],[Interview_Date]]-Table1[[#This Row],[Application_Date]]</f>
        <v>9</v>
      </c>
      <c r="B474" t="str">
        <f>IF(OR(Table1[[#This Row],[Offer_Date]]="",Table1[[#This Row],[Interview_Date]]=""),"",Table1[[#This Row],[Offer_Date]]-Table1[[#This Row],[Interview_Date]])</f>
        <v/>
      </c>
    </row>
    <row r="475" spans="1:2" x14ac:dyDescent="0.3">
      <c r="A475">
        <f>Table1[[#This Row],[Interview_Date]]-Table1[[#This Row],[Application_Date]]</f>
        <v>6</v>
      </c>
      <c r="B475" t="str">
        <f>IF(OR(Table1[[#This Row],[Offer_Date]]="",Table1[[#This Row],[Interview_Date]]=""),"",Table1[[#This Row],[Offer_Date]]-Table1[[#This Row],[Interview_Date]])</f>
        <v/>
      </c>
    </row>
    <row r="476" spans="1:2" x14ac:dyDescent="0.3">
      <c r="A476">
        <f>Table1[[#This Row],[Interview_Date]]-Table1[[#This Row],[Application_Date]]</f>
        <v>4</v>
      </c>
      <c r="B476" t="str">
        <f>IF(OR(Table1[[#This Row],[Offer_Date]]="",Table1[[#This Row],[Interview_Date]]=""),"",Table1[[#This Row],[Offer_Date]]-Table1[[#This Row],[Interview_Date]])</f>
        <v/>
      </c>
    </row>
    <row r="477" spans="1:2" x14ac:dyDescent="0.3">
      <c r="A477">
        <f>Table1[[#This Row],[Interview_Date]]-Table1[[#This Row],[Application_Date]]</f>
        <v>3</v>
      </c>
      <c r="B477">
        <f>IF(OR(Table1[[#This Row],[Offer_Date]]="",Table1[[#This Row],[Interview_Date]]=""),"",Table1[[#This Row],[Offer_Date]]-Table1[[#This Row],[Interview_Date]])</f>
        <v>3</v>
      </c>
    </row>
    <row r="478" spans="1:2" x14ac:dyDescent="0.3">
      <c r="A478">
        <f>Table1[[#This Row],[Interview_Date]]-Table1[[#This Row],[Application_Date]]</f>
        <v>15</v>
      </c>
      <c r="B478">
        <f>IF(OR(Table1[[#This Row],[Offer_Date]]="",Table1[[#This Row],[Interview_Date]]=""),"",Table1[[#This Row],[Offer_Date]]-Table1[[#This Row],[Interview_Date]])</f>
        <v>3</v>
      </c>
    </row>
    <row r="479" spans="1:2" x14ac:dyDescent="0.3">
      <c r="A479">
        <f>Table1[[#This Row],[Interview_Date]]-Table1[[#This Row],[Application_Date]]</f>
        <v>5</v>
      </c>
      <c r="B479">
        <f>IF(OR(Table1[[#This Row],[Offer_Date]]="",Table1[[#This Row],[Interview_Date]]=""),"",Table1[[#This Row],[Offer_Date]]-Table1[[#This Row],[Interview_Date]])</f>
        <v>5</v>
      </c>
    </row>
    <row r="480" spans="1:2" x14ac:dyDescent="0.3">
      <c r="A480">
        <f>Table1[[#This Row],[Interview_Date]]-Table1[[#This Row],[Application_Date]]</f>
        <v>4</v>
      </c>
      <c r="B480">
        <f>IF(OR(Table1[[#This Row],[Offer_Date]]="",Table1[[#This Row],[Interview_Date]]=""),"",Table1[[#This Row],[Offer_Date]]-Table1[[#This Row],[Interview_Date]])</f>
        <v>3</v>
      </c>
    </row>
    <row r="481" spans="1:2" x14ac:dyDescent="0.3">
      <c r="A481">
        <f>Table1[[#This Row],[Interview_Date]]-Table1[[#This Row],[Application_Date]]</f>
        <v>3</v>
      </c>
      <c r="B481" t="str">
        <f>IF(OR(Table1[[#This Row],[Offer_Date]]="",Table1[[#This Row],[Interview_Date]]=""),"",Table1[[#This Row],[Offer_Date]]-Table1[[#This Row],[Interview_Date]])</f>
        <v/>
      </c>
    </row>
    <row r="482" spans="1:2" x14ac:dyDescent="0.3">
      <c r="A482">
        <f>Table1[[#This Row],[Interview_Date]]-Table1[[#This Row],[Application_Date]]</f>
        <v>3</v>
      </c>
      <c r="B482">
        <f>IF(OR(Table1[[#This Row],[Offer_Date]]="",Table1[[#This Row],[Interview_Date]]=""),"",Table1[[#This Row],[Offer_Date]]-Table1[[#This Row],[Interview_Date]])</f>
        <v>6</v>
      </c>
    </row>
    <row r="483" spans="1:2" x14ac:dyDescent="0.3">
      <c r="A483">
        <f>Table1[[#This Row],[Interview_Date]]-Table1[[#This Row],[Application_Date]]</f>
        <v>8</v>
      </c>
      <c r="B483">
        <f>IF(OR(Table1[[#This Row],[Offer_Date]]="",Table1[[#This Row],[Interview_Date]]=""),"",Table1[[#This Row],[Offer_Date]]-Table1[[#This Row],[Interview_Date]])</f>
        <v>4</v>
      </c>
    </row>
    <row r="484" spans="1:2" x14ac:dyDescent="0.3">
      <c r="A484">
        <f>Table1[[#This Row],[Interview_Date]]-Table1[[#This Row],[Application_Date]]</f>
        <v>3</v>
      </c>
      <c r="B484" t="str">
        <f>IF(OR(Table1[[#This Row],[Offer_Date]]="",Table1[[#This Row],[Interview_Date]]=""),"",Table1[[#This Row],[Offer_Date]]-Table1[[#This Row],[Interview_Date]])</f>
        <v/>
      </c>
    </row>
    <row r="485" spans="1:2" x14ac:dyDescent="0.3">
      <c r="A485">
        <f>Table1[[#This Row],[Interview_Date]]-Table1[[#This Row],[Application_Date]]</f>
        <v>6</v>
      </c>
      <c r="B485">
        <f>IF(OR(Table1[[#This Row],[Offer_Date]]="",Table1[[#This Row],[Interview_Date]]=""),"",Table1[[#This Row],[Offer_Date]]-Table1[[#This Row],[Interview_Date]])</f>
        <v>5</v>
      </c>
    </row>
    <row r="486" spans="1:2" x14ac:dyDescent="0.3">
      <c r="A486">
        <f>Table1[[#This Row],[Interview_Date]]-Table1[[#This Row],[Application_Date]]</f>
        <v>5</v>
      </c>
      <c r="B486">
        <f>IF(OR(Table1[[#This Row],[Offer_Date]]="",Table1[[#This Row],[Interview_Date]]=""),"",Table1[[#This Row],[Offer_Date]]-Table1[[#This Row],[Interview_Date]])</f>
        <v>4</v>
      </c>
    </row>
    <row r="487" spans="1:2" x14ac:dyDescent="0.3">
      <c r="A487">
        <f>Table1[[#This Row],[Interview_Date]]-Table1[[#This Row],[Application_Date]]</f>
        <v>8</v>
      </c>
      <c r="B487">
        <f>IF(OR(Table1[[#This Row],[Offer_Date]]="",Table1[[#This Row],[Interview_Date]]=""),"",Table1[[#This Row],[Offer_Date]]-Table1[[#This Row],[Interview_Date]])</f>
        <v>7</v>
      </c>
    </row>
    <row r="488" spans="1:2" x14ac:dyDescent="0.3">
      <c r="A488">
        <f>Table1[[#This Row],[Interview_Date]]-Table1[[#This Row],[Application_Date]]</f>
        <v>15</v>
      </c>
      <c r="B488" t="str">
        <f>IF(OR(Table1[[#This Row],[Offer_Date]]="",Table1[[#This Row],[Interview_Date]]=""),"",Table1[[#This Row],[Offer_Date]]-Table1[[#This Row],[Interview_Date]])</f>
        <v/>
      </c>
    </row>
    <row r="489" spans="1:2" x14ac:dyDescent="0.3">
      <c r="A489">
        <f>Table1[[#This Row],[Interview_Date]]-Table1[[#This Row],[Application_Date]]</f>
        <v>15</v>
      </c>
      <c r="B489">
        <f>IF(OR(Table1[[#This Row],[Offer_Date]]="",Table1[[#This Row],[Interview_Date]]=""),"",Table1[[#This Row],[Offer_Date]]-Table1[[#This Row],[Interview_Date]])</f>
        <v>6</v>
      </c>
    </row>
    <row r="490" spans="1:2" x14ac:dyDescent="0.3">
      <c r="A490">
        <f>Table1[[#This Row],[Interview_Date]]-Table1[[#This Row],[Application_Date]]</f>
        <v>9</v>
      </c>
      <c r="B490" t="str">
        <f>IF(OR(Table1[[#This Row],[Offer_Date]]="",Table1[[#This Row],[Interview_Date]]=""),"",Table1[[#This Row],[Offer_Date]]-Table1[[#This Row],[Interview_Date]])</f>
        <v/>
      </c>
    </row>
    <row r="491" spans="1:2" x14ac:dyDescent="0.3">
      <c r="A491">
        <f>Table1[[#This Row],[Interview_Date]]-Table1[[#This Row],[Application_Date]]</f>
        <v>5</v>
      </c>
      <c r="B491" t="str">
        <f>IF(OR(Table1[[#This Row],[Offer_Date]]="",Table1[[#This Row],[Interview_Date]]=""),"",Table1[[#This Row],[Offer_Date]]-Table1[[#This Row],[Interview_Date]])</f>
        <v/>
      </c>
    </row>
    <row r="492" spans="1:2" x14ac:dyDescent="0.3">
      <c r="A492">
        <f>Table1[[#This Row],[Interview_Date]]-Table1[[#This Row],[Application_Date]]</f>
        <v>12</v>
      </c>
      <c r="B492" t="str">
        <f>IF(OR(Table1[[#This Row],[Offer_Date]]="",Table1[[#This Row],[Interview_Date]]=""),"",Table1[[#This Row],[Offer_Date]]-Table1[[#This Row],[Interview_Date]])</f>
        <v/>
      </c>
    </row>
    <row r="493" spans="1:2" x14ac:dyDescent="0.3">
      <c r="A493">
        <f>Table1[[#This Row],[Interview_Date]]-Table1[[#This Row],[Application_Date]]</f>
        <v>5</v>
      </c>
      <c r="B493" t="str">
        <f>IF(OR(Table1[[#This Row],[Offer_Date]]="",Table1[[#This Row],[Interview_Date]]=""),"",Table1[[#This Row],[Offer_Date]]-Table1[[#This Row],[Interview_Date]])</f>
        <v/>
      </c>
    </row>
    <row r="494" spans="1:2" x14ac:dyDescent="0.3">
      <c r="A494">
        <f>Table1[[#This Row],[Interview_Date]]-Table1[[#This Row],[Application_Date]]</f>
        <v>8</v>
      </c>
      <c r="B494">
        <f>IF(OR(Table1[[#This Row],[Offer_Date]]="",Table1[[#This Row],[Interview_Date]]=""),"",Table1[[#This Row],[Offer_Date]]-Table1[[#This Row],[Interview_Date]])</f>
        <v>2</v>
      </c>
    </row>
    <row r="495" spans="1:2" x14ac:dyDescent="0.3">
      <c r="A495">
        <f>Table1[[#This Row],[Interview_Date]]-Table1[[#This Row],[Application_Date]]</f>
        <v>12</v>
      </c>
      <c r="B495">
        <f>IF(OR(Table1[[#This Row],[Offer_Date]]="",Table1[[#This Row],[Interview_Date]]=""),"",Table1[[#This Row],[Offer_Date]]-Table1[[#This Row],[Interview_Date]])</f>
        <v>7</v>
      </c>
    </row>
    <row r="496" spans="1:2" x14ac:dyDescent="0.3">
      <c r="A496">
        <f>Table1[[#This Row],[Interview_Date]]-Table1[[#This Row],[Application_Date]]</f>
        <v>4</v>
      </c>
      <c r="B496">
        <f>IF(OR(Table1[[#This Row],[Offer_Date]]="",Table1[[#This Row],[Interview_Date]]=""),"",Table1[[#This Row],[Offer_Date]]-Table1[[#This Row],[Interview_Date]])</f>
        <v>5</v>
      </c>
    </row>
    <row r="497" spans="1:2" x14ac:dyDescent="0.3">
      <c r="A497">
        <f>Table1[[#This Row],[Interview_Date]]-Table1[[#This Row],[Application_Date]]</f>
        <v>6</v>
      </c>
      <c r="B497" t="str">
        <f>IF(OR(Table1[[#This Row],[Offer_Date]]="",Table1[[#This Row],[Interview_Date]]=""),"",Table1[[#This Row],[Offer_Date]]-Table1[[#This Row],[Interview_Date]])</f>
        <v/>
      </c>
    </row>
    <row r="498" spans="1:2" x14ac:dyDescent="0.3">
      <c r="A498">
        <f>Table1[[#This Row],[Interview_Date]]-Table1[[#This Row],[Application_Date]]</f>
        <v>8</v>
      </c>
      <c r="B498" t="str">
        <f>IF(OR(Table1[[#This Row],[Offer_Date]]="",Table1[[#This Row],[Interview_Date]]=""),"",Table1[[#This Row],[Offer_Date]]-Table1[[#This Row],[Interview_Date]])</f>
        <v/>
      </c>
    </row>
    <row r="499" spans="1:2" x14ac:dyDescent="0.3">
      <c r="A499">
        <f>Table1[[#This Row],[Interview_Date]]-Table1[[#This Row],[Application_Date]]</f>
        <v>3</v>
      </c>
      <c r="B499">
        <f>IF(OR(Table1[[#This Row],[Offer_Date]]="",Table1[[#This Row],[Interview_Date]]=""),"",Table1[[#This Row],[Offer_Date]]-Table1[[#This Row],[Interview_Date]])</f>
        <v>5</v>
      </c>
    </row>
    <row r="500" spans="1:2" x14ac:dyDescent="0.3">
      <c r="A500">
        <f>Table1[[#This Row],[Interview_Date]]-Table1[[#This Row],[Application_Date]]</f>
        <v>11</v>
      </c>
      <c r="B500">
        <f>IF(OR(Table1[[#This Row],[Offer_Date]]="",Table1[[#This Row],[Interview_Date]]=""),"",Table1[[#This Row],[Offer_Date]]-Table1[[#This Row],[Interview_Date]])</f>
        <v>5</v>
      </c>
    </row>
    <row r="501" spans="1:2" x14ac:dyDescent="0.3">
      <c r="A501">
        <f>Table1[[#This Row],[Interview_Date]]-Table1[[#This Row],[Application_Date]]</f>
        <v>13</v>
      </c>
      <c r="B501" t="str">
        <f>IF(OR(Table1[[#This Row],[Offer_Date]]="",Table1[[#This Row],[Interview_Date]]=""),"",Table1[[#This Row],[Offer_Date]]-Table1[[#This Row],[Interview_Date]])</f>
        <v/>
      </c>
    </row>
    <row r="502" spans="1:2" x14ac:dyDescent="0.3">
      <c r="A502">
        <f>Table1[[#This Row],[Interview_Date]]-Table1[[#This Row],[Application_Date]]</f>
        <v>8</v>
      </c>
      <c r="B502">
        <f>IF(OR(Table1[[#This Row],[Offer_Date]]="",Table1[[#This Row],[Interview_Date]]=""),"",Table1[[#This Row],[Offer_Date]]-Table1[[#This Row],[Interview_Date]])</f>
        <v>5</v>
      </c>
    </row>
    <row r="503" spans="1:2" x14ac:dyDescent="0.3">
      <c r="A503">
        <f>Table1[[#This Row],[Interview_Date]]-Table1[[#This Row],[Application_Date]]</f>
        <v>3</v>
      </c>
      <c r="B503">
        <f>IF(OR(Table1[[#This Row],[Offer_Date]]="",Table1[[#This Row],[Interview_Date]]=""),"",Table1[[#This Row],[Offer_Date]]-Table1[[#This Row],[Interview_Date]])</f>
        <v>7</v>
      </c>
    </row>
    <row r="504" spans="1:2" x14ac:dyDescent="0.3">
      <c r="A504">
        <f>Table1[[#This Row],[Interview_Date]]-Table1[[#This Row],[Application_Date]]</f>
        <v>12</v>
      </c>
      <c r="B504">
        <f>IF(OR(Table1[[#This Row],[Offer_Date]]="",Table1[[#This Row],[Interview_Date]]=""),"",Table1[[#This Row],[Offer_Date]]-Table1[[#This Row],[Interview_Date]])</f>
        <v>3</v>
      </c>
    </row>
    <row r="505" spans="1:2" x14ac:dyDescent="0.3">
      <c r="A505">
        <f>Table1[[#This Row],[Interview_Date]]-Table1[[#This Row],[Application_Date]]</f>
        <v>6</v>
      </c>
      <c r="B505">
        <f>IF(OR(Table1[[#This Row],[Offer_Date]]="",Table1[[#This Row],[Interview_Date]]=""),"",Table1[[#This Row],[Offer_Date]]-Table1[[#This Row],[Interview_Date]])</f>
        <v>3</v>
      </c>
    </row>
    <row r="506" spans="1:2" x14ac:dyDescent="0.3">
      <c r="A506">
        <f>Table1[[#This Row],[Interview_Date]]-Table1[[#This Row],[Application_Date]]</f>
        <v>6</v>
      </c>
      <c r="B506" t="str">
        <f>IF(OR(Table1[[#This Row],[Offer_Date]]="",Table1[[#This Row],[Interview_Date]]=""),"",Table1[[#This Row],[Offer_Date]]-Table1[[#This Row],[Interview_Date]])</f>
        <v/>
      </c>
    </row>
    <row r="507" spans="1:2" x14ac:dyDescent="0.3">
      <c r="A507">
        <f>Table1[[#This Row],[Interview_Date]]-Table1[[#This Row],[Application_Date]]</f>
        <v>5</v>
      </c>
      <c r="B507" t="str">
        <f>IF(OR(Table1[[#This Row],[Offer_Date]]="",Table1[[#This Row],[Interview_Date]]=""),"",Table1[[#This Row],[Offer_Date]]-Table1[[#This Row],[Interview_Date]])</f>
        <v/>
      </c>
    </row>
    <row r="508" spans="1:2" x14ac:dyDescent="0.3">
      <c r="A508">
        <f>Table1[[#This Row],[Interview_Date]]-Table1[[#This Row],[Application_Date]]</f>
        <v>11</v>
      </c>
      <c r="B508" t="str">
        <f>IF(OR(Table1[[#This Row],[Offer_Date]]="",Table1[[#This Row],[Interview_Date]]=""),"",Table1[[#This Row],[Offer_Date]]-Table1[[#This Row],[Interview_Date]])</f>
        <v/>
      </c>
    </row>
    <row r="509" spans="1:2" x14ac:dyDescent="0.3">
      <c r="A509">
        <f>Table1[[#This Row],[Interview_Date]]-Table1[[#This Row],[Application_Date]]</f>
        <v>7</v>
      </c>
      <c r="B509" t="str">
        <f>IF(OR(Table1[[#This Row],[Offer_Date]]="",Table1[[#This Row],[Interview_Date]]=""),"",Table1[[#This Row],[Offer_Date]]-Table1[[#This Row],[Interview_Date]])</f>
        <v/>
      </c>
    </row>
    <row r="510" spans="1:2" x14ac:dyDescent="0.3">
      <c r="A510">
        <f>Table1[[#This Row],[Interview_Date]]-Table1[[#This Row],[Application_Date]]</f>
        <v>11</v>
      </c>
      <c r="B510" t="str">
        <f>IF(OR(Table1[[#This Row],[Offer_Date]]="",Table1[[#This Row],[Interview_Date]]=""),"",Table1[[#This Row],[Offer_Date]]-Table1[[#This Row],[Interview_Date]])</f>
        <v/>
      </c>
    </row>
    <row r="511" spans="1:2" x14ac:dyDescent="0.3">
      <c r="A511">
        <f>Table1[[#This Row],[Interview_Date]]-Table1[[#This Row],[Application_Date]]</f>
        <v>7</v>
      </c>
      <c r="B511">
        <f>IF(OR(Table1[[#This Row],[Offer_Date]]="",Table1[[#This Row],[Interview_Date]]=""),"",Table1[[#This Row],[Offer_Date]]-Table1[[#This Row],[Interview_Date]])</f>
        <v>4</v>
      </c>
    </row>
    <row r="512" spans="1:2" x14ac:dyDescent="0.3">
      <c r="A512">
        <f>Table1[[#This Row],[Interview_Date]]-Table1[[#This Row],[Application_Date]]</f>
        <v>5</v>
      </c>
      <c r="B512" t="str">
        <f>IF(OR(Table1[[#This Row],[Offer_Date]]="",Table1[[#This Row],[Interview_Date]]=""),"",Table1[[#This Row],[Offer_Date]]-Table1[[#This Row],[Interview_Date]])</f>
        <v/>
      </c>
    </row>
    <row r="513" spans="1:2" x14ac:dyDescent="0.3">
      <c r="A513">
        <f>Table1[[#This Row],[Interview_Date]]-Table1[[#This Row],[Application_Date]]</f>
        <v>3</v>
      </c>
      <c r="B513">
        <f>IF(OR(Table1[[#This Row],[Offer_Date]]="",Table1[[#This Row],[Interview_Date]]=""),"",Table1[[#This Row],[Offer_Date]]-Table1[[#This Row],[Interview_Date]])</f>
        <v>3</v>
      </c>
    </row>
    <row r="514" spans="1:2" x14ac:dyDescent="0.3">
      <c r="A514">
        <f>Table1[[#This Row],[Interview_Date]]-Table1[[#This Row],[Application_Date]]</f>
        <v>7</v>
      </c>
      <c r="B514" t="str">
        <f>IF(OR(Table1[[#This Row],[Offer_Date]]="",Table1[[#This Row],[Interview_Date]]=""),"",Table1[[#This Row],[Offer_Date]]-Table1[[#This Row],[Interview_Date]])</f>
        <v/>
      </c>
    </row>
    <row r="515" spans="1:2" x14ac:dyDescent="0.3">
      <c r="A515">
        <f>Table1[[#This Row],[Interview_Date]]-Table1[[#This Row],[Application_Date]]</f>
        <v>11</v>
      </c>
      <c r="B515" t="str">
        <f>IF(OR(Table1[[#This Row],[Offer_Date]]="",Table1[[#This Row],[Interview_Date]]=""),"",Table1[[#This Row],[Offer_Date]]-Table1[[#This Row],[Interview_Date]])</f>
        <v/>
      </c>
    </row>
    <row r="516" spans="1:2" x14ac:dyDescent="0.3">
      <c r="A516">
        <f>Table1[[#This Row],[Interview_Date]]-Table1[[#This Row],[Application_Date]]</f>
        <v>3</v>
      </c>
      <c r="B516">
        <f>IF(OR(Table1[[#This Row],[Offer_Date]]="",Table1[[#This Row],[Interview_Date]]=""),"",Table1[[#This Row],[Offer_Date]]-Table1[[#This Row],[Interview_Date]])</f>
        <v>3</v>
      </c>
    </row>
    <row r="517" spans="1:2" x14ac:dyDescent="0.3">
      <c r="A517">
        <f>Table1[[#This Row],[Interview_Date]]-Table1[[#This Row],[Application_Date]]</f>
        <v>6</v>
      </c>
      <c r="B517" t="str">
        <f>IF(OR(Table1[[#This Row],[Offer_Date]]="",Table1[[#This Row],[Interview_Date]]=""),"",Table1[[#This Row],[Offer_Date]]-Table1[[#This Row],[Interview_Date]])</f>
        <v/>
      </c>
    </row>
    <row r="518" spans="1:2" x14ac:dyDescent="0.3">
      <c r="A518">
        <f>Table1[[#This Row],[Interview_Date]]-Table1[[#This Row],[Application_Date]]</f>
        <v>14</v>
      </c>
      <c r="B518" t="str">
        <f>IF(OR(Table1[[#This Row],[Offer_Date]]="",Table1[[#This Row],[Interview_Date]]=""),"",Table1[[#This Row],[Offer_Date]]-Table1[[#This Row],[Interview_Date]])</f>
        <v/>
      </c>
    </row>
    <row r="519" spans="1:2" x14ac:dyDescent="0.3">
      <c r="A519">
        <f>Table1[[#This Row],[Interview_Date]]-Table1[[#This Row],[Application_Date]]</f>
        <v>8</v>
      </c>
      <c r="B519">
        <f>IF(OR(Table1[[#This Row],[Offer_Date]]="",Table1[[#This Row],[Interview_Date]]=""),"",Table1[[#This Row],[Offer_Date]]-Table1[[#This Row],[Interview_Date]])</f>
        <v>5</v>
      </c>
    </row>
    <row r="520" spans="1:2" x14ac:dyDescent="0.3">
      <c r="A520">
        <f>Table1[[#This Row],[Interview_Date]]-Table1[[#This Row],[Application_Date]]</f>
        <v>15</v>
      </c>
      <c r="B520">
        <f>IF(OR(Table1[[#This Row],[Offer_Date]]="",Table1[[#This Row],[Interview_Date]]=""),"",Table1[[#This Row],[Offer_Date]]-Table1[[#This Row],[Interview_Date]])</f>
        <v>3</v>
      </c>
    </row>
    <row r="521" spans="1:2" x14ac:dyDescent="0.3">
      <c r="A521">
        <f>Table1[[#This Row],[Interview_Date]]-Table1[[#This Row],[Application_Date]]</f>
        <v>10</v>
      </c>
      <c r="B521" t="str">
        <f>IF(OR(Table1[[#This Row],[Offer_Date]]="",Table1[[#This Row],[Interview_Date]]=""),"",Table1[[#This Row],[Offer_Date]]-Table1[[#This Row],[Interview_Date]])</f>
        <v/>
      </c>
    </row>
    <row r="522" spans="1:2" x14ac:dyDescent="0.3">
      <c r="A522">
        <f>Table1[[#This Row],[Interview_Date]]-Table1[[#This Row],[Application_Date]]</f>
        <v>8</v>
      </c>
      <c r="B522" t="str">
        <f>IF(OR(Table1[[#This Row],[Offer_Date]]="",Table1[[#This Row],[Interview_Date]]=""),"",Table1[[#This Row],[Offer_Date]]-Table1[[#This Row],[Interview_Date]])</f>
        <v/>
      </c>
    </row>
    <row r="523" spans="1:2" x14ac:dyDescent="0.3">
      <c r="A523">
        <f>Table1[[#This Row],[Interview_Date]]-Table1[[#This Row],[Application_Date]]</f>
        <v>9</v>
      </c>
      <c r="B523">
        <f>IF(OR(Table1[[#This Row],[Offer_Date]]="",Table1[[#This Row],[Interview_Date]]=""),"",Table1[[#This Row],[Offer_Date]]-Table1[[#This Row],[Interview_Date]])</f>
        <v>2</v>
      </c>
    </row>
    <row r="524" spans="1:2" x14ac:dyDescent="0.3">
      <c r="A524">
        <f>Table1[[#This Row],[Interview_Date]]-Table1[[#This Row],[Application_Date]]</f>
        <v>3</v>
      </c>
      <c r="B524" t="str">
        <f>IF(OR(Table1[[#This Row],[Offer_Date]]="",Table1[[#This Row],[Interview_Date]]=""),"",Table1[[#This Row],[Offer_Date]]-Table1[[#This Row],[Interview_Date]])</f>
        <v/>
      </c>
    </row>
    <row r="525" spans="1:2" x14ac:dyDescent="0.3">
      <c r="A525">
        <f>Table1[[#This Row],[Interview_Date]]-Table1[[#This Row],[Application_Date]]</f>
        <v>7</v>
      </c>
      <c r="B525">
        <f>IF(OR(Table1[[#This Row],[Offer_Date]]="",Table1[[#This Row],[Interview_Date]]=""),"",Table1[[#This Row],[Offer_Date]]-Table1[[#This Row],[Interview_Date]])</f>
        <v>6</v>
      </c>
    </row>
    <row r="526" spans="1:2" x14ac:dyDescent="0.3">
      <c r="A526">
        <f>Table1[[#This Row],[Interview_Date]]-Table1[[#This Row],[Application_Date]]</f>
        <v>13</v>
      </c>
      <c r="B526" t="str">
        <f>IF(OR(Table1[[#This Row],[Offer_Date]]="",Table1[[#This Row],[Interview_Date]]=""),"",Table1[[#This Row],[Offer_Date]]-Table1[[#This Row],[Interview_Date]])</f>
        <v/>
      </c>
    </row>
    <row r="527" spans="1:2" x14ac:dyDescent="0.3">
      <c r="A527">
        <f>Table1[[#This Row],[Interview_Date]]-Table1[[#This Row],[Application_Date]]</f>
        <v>11</v>
      </c>
      <c r="B527" t="str">
        <f>IF(OR(Table1[[#This Row],[Offer_Date]]="",Table1[[#This Row],[Interview_Date]]=""),"",Table1[[#This Row],[Offer_Date]]-Table1[[#This Row],[Interview_Date]])</f>
        <v/>
      </c>
    </row>
    <row r="528" spans="1:2" x14ac:dyDescent="0.3">
      <c r="A528">
        <f>Table1[[#This Row],[Interview_Date]]-Table1[[#This Row],[Application_Date]]</f>
        <v>15</v>
      </c>
      <c r="B528">
        <f>IF(OR(Table1[[#This Row],[Offer_Date]]="",Table1[[#This Row],[Interview_Date]]=""),"",Table1[[#This Row],[Offer_Date]]-Table1[[#This Row],[Interview_Date]])</f>
        <v>3</v>
      </c>
    </row>
    <row r="529" spans="1:2" x14ac:dyDescent="0.3">
      <c r="A529">
        <f>Table1[[#This Row],[Interview_Date]]-Table1[[#This Row],[Application_Date]]</f>
        <v>5</v>
      </c>
      <c r="B529">
        <f>IF(OR(Table1[[#This Row],[Offer_Date]]="",Table1[[#This Row],[Interview_Date]]=""),"",Table1[[#This Row],[Offer_Date]]-Table1[[#This Row],[Interview_Date]])</f>
        <v>7</v>
      </c>
    </row>
    <row r="530" spans="1:2" x14ac:dyDescent="0.3">
      <c r="A530">
        <f>Table1[[#This Row],[Interview_Date]]-Table1[[#This Row],[Application_Date]]</f>
        <v>9</v>
      </c>
      <c r="B530" t="str">
        <f>IF(OR(Table1[[#This Row],[Offer_Date]]="",Table1[[#This Row],[Interview_Date]]=""),"",Table1[[#This Row],[Offer_Date]]-Table1[[#This Row],[Interview_Date]])</f>
        <v/>
      </c>
    </row>
    <row r="531" spans="1:2" x14ac:dyDescent="0.3">
      <c r="A531">
        <f>Table1[[#This Row],[Interview_Date]]-Table1[[#This Row],[Application_Date]]</f>
        <v>9</v>
      </c>
      <c r="B531">
        <f>IF(OR(Table1[[#This Row],[Offer_Date]]="",Table1[[#This Row],[Interview_Date]]=""),"",Table1[[#This Row],[Offer_Date]]-Table1[[#This Row],[Interview_Date]])</f>
        <v>7</v>
      </c>
    </row>
    <row r="532" spans="1:2" x14ac:dyDescent="0.3">
      <c r="A532">
        <f>Table1[[#This Row],[Interview_Date]]-Table1[[#This Row],[Application_Date]]</f>
        <v>10</v>
      </c>
      <c r="B532">
        <f>IF(OR(Table1[[#This Row],[Offer_Date]]="",Table1[[#This Row],[Interview_Date]]=""),"",Table1[[#This Row],[Offer_Date]]-Table1[[#This Row],[Interview_Date]])</f>
        <v>7</v>
      </c>
    </row>
    <row r="533" spans="1:2" x14ac:dyDescent="0.3">
      <c r="A533">
        <f>Table1[[#This Row],[Interview_Date]]-Table1[[#This Row],[Application_Date]]</f>
        <v>8</v>
      </c>
      <c r="B533">
        <f>IF(OR(Table1[[#This Row],[Offer_Date]]="",Table1[[#This Row],[Interview_Date]]=""),"",Table1[[#This Row],[Offer_Date]]-Table1[[#This Row],[Interview_Date]])</f>
        <v>6</v>
      </c>
    </row>
    <row r="534" spans="1:2" x14ac:dyDescent="0.3">
      <c r="A534">
        <f>Table1[[#This Row],[Interview_Date]]-Table1[[#This Row],[Application_Date]]</f>
        <v>14</v>
      </c>
      <c r="B534" t="str">
        <f>IF(OR(Table1[[#This Row],[Offer_Date]]="",Table1[[#This Row],[Interview_Date]]=""),"",Table1[[#This Row],[Offer_Date]]-Table1[[#This Row],[Interview_Date]])</f>
        <v/>
      </c>
    </row>
    <row r="535" spans="1:2" x14ac:dyDescent="0.3">
      <c r="A535">
        <f>Table1[[#This Row],[Interview_Date]]-Table1[[#This Row],[Application_Date]]</f>
        <v>9</v>
      </c>
      <c r="B535">
        <f>IF(OR(Table1[[#This Row],[Offer_Date]]="",Table1[[#This Row],[Interview_Date]]=""),"",Table1[[#This Row],[Offer_Date]]-Table1[[#This Row],[Interview_Date]])</f>
        <v>7</v>
      </c>
    </row>
    <row r="536" spans="1:2" x14ac:dyDescent="0.3">
      <c r="A536">
        <f>Table1[[#This Row],[Interview_Date]]-Table1[[#This Row],[Application_Date]]</f>
        <v>8</v>
      </c>
      <c r="B536">
        <f>IF(OR(Table1[[#This Row],[Offer_Date]]="",Table1[[#This Row],[Interview_Date]]=""),"",Table1[[#This Row],[Offer_Date]]-Table1[[#This Row],[Interview_Date]])</f>
        <v>6</v>
      </c>
    </row>
    <row r="537" spans="1:2" x14ac:dyDescent="0.3">
      <c r="A537">
        <f>Table1[[#This Row],[Interview_Date]]-Table1[[#This Row],[Application_Date]]</f>
        <v>11</v>
      </c>
      <c r="B537" t="str">
        <f>IF(OR(Table1[[#This Row],[Offer_Date]]="",Table1[[#This Row],[Interview_Date]]=""),"",Table1[[#This Row],[Offer_Date]]-Table1[[#This Row],[Interview_Date]])</f>
        <v/>
      </c>
    </row>
    <row r="538" spans="1:2" x14ac:dyDescent="0.3">
      <c r="A538">
        <f>Table1[[#This Row],[Interview_Date]]-Table1[[#This Row],[Application_Date]]</f>
        <v>14</v>
      </c>
      <c r="B538">
        <f>IF(OR(Table1[[#This Row],[Offer_Date]]="",Table1[[#This Row],[Interview_Date]]=""),"",Table1[[#This Row],[Offer_Date]]-Table1[[#This Row],[Interview_Date]])</f>
        <v>2</v>
      </c>
    </row>
    <row r="539" spans="1:2" x14ac:dyDescent="0.3">
      <c r="A539">
        <f>Table1[[#This Row],[Interview_Date]]-Table1[[#This Row],[Application_Date]]</f>
        <v>13</v>
      </c>
      <c r="B539" t="str">
        <f>IF(OR(Table1[[#This Row],[Offer_Date]]="",Table1[[#This Row],[Interview_Date]]=""),"",Table1[[#This Row],[Offer_Date]]-Table1[[#This Row],[Interview_Date]])</f>
        <v/>
      </c>
    </row>
    <row r="540" spans="1:2" x14ac:dyDescent="0.3">
      <c r="A540">
        <f>Table1[[#This Row],[Interview_Date]]-Table1[[#This Row],[Application_Date]]</f>
        <v>8</v>
      </c>
      <c r="B540" t="str">
        <f>IF(OR(Table1[[#This Row],[Offer_Date]]="",Table1[[#This Row],[Interview_Date]]=""),"",Table1[[#This Row],[Offer_Date]]-Table1[[#This Row],[Interview_Date]])</f>
        <v/>
      </c>
    </row>
    <row r="541" spans="1:2" x14ac:dyDescent="0.3">
      <c r="A541">
        <f>Table1[[#This Row],[Interview_Date]]-Table1[[#This Row],[Application_Date]]</f>
        <v>14</v>
      </c>
      <c r="B541" t="str">
        <f>IF(OR(Table1[[#This Row],[Offer_Date]]="",Table1[[#This Row],[Interview_Date]]=""),"",Table1[[#This Row],[Offer_Date]]-Table1[[#This Row],[Interview_Date]])</f>
        <v/>
      </c>
    </row>
    <row r="542" spans="1:2" x14ac:dyDescent="0.3">
      <c r="A542">
        <f>Table1[[#This Row],[Interview_Date]]-Table1[[#This Row],[Application_Date]]</f>
        <v>6</v>
      </c>
      <c r="B542" t="str">
        <f>IF(OR(Table1[[#This Row],[Offer_Date]]="",Table1[[#This Row],[Interview_Date]]=""),"",Table1[[#This Row],[Offer_Date]]-Table1[[#This Row],[Interview_Date]])</f>
        <v/>
      </c>
    </row>
    <row r="543" spans="1:2" x14ac:dyDescent="0.3">
      <c r="A543">
        <f>Table1[[#This Row],[Interview_Date]]-Table1[[#This Row],[Application_Date]]</f>
        <v>10</v>
      </c>
      <c r="B543" t="str">
        <f>IF(OR(Table1[[#This Row],[Offer_Date]]="",Table1[[#This Row],[Interview_Date]]=""),"",Table1[[#This Row],[Offer_Date]]-Table1[[#This Row],[Interview_Date]])</f>
        <v/>
      </c>
    </row>
    <row r="544" spans="1:2" x14ac:dyDescent="0.3">
      <c r="A544">
        <f>Table1[[#This Row],[Interview_Date]]-Table1[[#This Row],[Application_Date]]</f>
        <v>15</v>
      </c>
      <c r="B544">
        <f>IF(OR(Table1[[#This Row],[Offer_Date]]="",Table1[[#This Row],[Interview_Date]]=""),"",Table1[[#This Row],[Offer_Date]]-Table1[[#This Row],[Interview_Date]])</f>
        <v>7</v>
      </c>
    </row>
    <row r="545" spans="1:2" x14ac:dyDescent="0.3">
      <c r="A545">
        <f>Table1[[#This Row],[Interview_Date]]-Table1[[#This Row],[Application_Date]]</f>
        <v>15</v>
      </c>
      <c r="B545" t="str">
        <f>IF(OR(Table1[[#This Row],[Offer_Date]]="",Table1[[#This Row],[Interview_Date]]=""),"",Table1[[#This Row],[Offer_Date]]-Table1[[#This Row],[Interview_Date]])</f>
        <v/>
      </c>
    </row>
    <row r="546" spans="1:2" x14ac:dyDescent="0.3">
      <c r="A546">
        <f>Table1[[#This Row],[Interview_Date]]-Table1[[#This Row],[Application_Date]]</f>
        <v>14</v>
      </c>
      <c r="B546" t="str">
        <f>IF(OR(Table1[[#This Row],[Offer_Date]]="",Table1[[#This Row],[Interview_Date]]=""),"",Table1[[#This Row],[Offer_Date]]-Table1[[#This Row],[Interview_Date]])</f>
        <v/>
      </c>
    </row>
    <row r="547" spans="1:2" x14ac:dyDescent="0.3">
      <c r="A547">
        <f>Table1[[#This Row],[Interview_Date]]-Table1[[#This Row],[Application_Date]]</f>
        <v>10</v>
      </c>
      <c r="B547">
        <f>IF(OR(Table1[[#This Row],[Offer_Date]]="",Table1[[#This Row],[Interview_Date]]=""),"",Table1[[#This Row],[Offer_Date]]-Table1[[#This Row],[Interview_Date]])</f>
        <v>6</v>
      </c>
    </row>
    <row r="548" spans="1:2" x14ac:dyDescent="0.3">
      <c r="A548">
        <f>Table1[[#This Row],[Interview_Date]]-Table1[[#This Row],[Application_Date]]</f>
        <v>12</v>
      </c>
      <c r="B548" t="str">
        <f>IF(OR(Table1[[#This Row],[Offer_Date]]="",Table1[[#This Row],[Interview_Date]]=""),"",Table1[[#This Row],[Offer_Date]]-Table1[[#This Row],[Interview_Date]])</f>
        <v/>
      </c>
    </row>
    <row r="549" spans="1:2" x14ac:dyDescent="0.3">
      <c r="A549">
        <f>Table1[[#This Row],[Interview_Date]]-Table1[[#This Row],[Application_Date]]</f>
        <v>3</v>
      </c>
      <c r="B549" t="str">
        <f>IF(OR(Table1[[#This Row],[Offer_Date]]="",Table1[[#This Row],[Interview_Date]]=""),"",Table1[[#This Row],[Offer_Date]]-Table1[[#This Row],[Interview_Date]])</f>
        <v/>
      </c>
    </row>
    <row r="550" spans="1:2" x14ac:dyDescent="0.3">
      <c r="A550">
        <f>Table1[[#This Row],[Interview_Date]]-Table1[[#This Row],[Application_Date]]</f>
        <v>15</v>
      </c>
      <c r="B550">
        <f>IF(OR(Table1[[#This Row],[Offer_Date]]="",Table1[[#This Row],[Interview_Date]]=""),"",Table1[[#This Row],[Offer_Date]]-Table1[[#This Row],[Interview_Date]])</f>
        <v>6</v>
      </c>
    </row>
    <row r="551" spans="1:2" x14ac:dyDescent="0.3">
      <c r="A551">
        <f>Table1[[#This Row],[Interview_Date]]-Table1[[#This Row],[Application_Date]]</f>
        <v>12</v>
      </c>
      <c r="B551" t="str">
        <f>IF(OR(Table1[[#This Row],[Offer_Date]]="",Table1[[#This Row],[Interview_Date]]=""),"",Table1[[#This Row],[Offer_Date]]-Table1[[#This Row],[Interview_Date]])</f>
        <v/>
      </c>
    </row>
    <row r="552" spans="1:2" x14ac:dyDescent="0.3">
      <c r="A552">
        <f>Table1[[#This Row],[Interview_Date]]-Table1[[#This Row],[Application_Date]]</f>
        <v>3</v>
      </c>
      <c r="B552" t="str">
        <f>IF(OR(Table1[[#This Row],[Offer_Date]]="",Table1[[#This Row],[Interview_Date]]=""),"",Table1[[#This Row],[Offer_Date]]-Table1[[#This Row],[Interview_Date]])</f>
        <v/>
      </c>
    </row>
    <row r="553" spans="1:2" x14ac:dyDescent="0.3">
      <c r="A553">
        <f>Table1[[#This Row],[Interview_Date]]-Table1[[#This Row],[Application_Date]]</f>
        <v>3</v>
      </c>
      <c r="B553">
        <f>IF(OR(Table1[[#This Row],[Offer_Date]]="",Table1[[#This Row],[Interview_Date]]=""),"",Table1[[#This Row],[Offer_Date]]-Table1[[#This Row],[Interview_Date]])</f>
        <v>4</v>
      </c>
    </row>
    <row r="554" spans="1:2" x14ac:dyDescent="0.3">
      <c r="A554">
        <f>Table1[[#This Row],[Interview_Date]]-Table1[[#This Row],[Application_Date]]</f>
        <v>11</v>
      </c>
      <c r="B554" t="str">
        <f>IF(OR(Table1[[#This Row],[Offer_Date]]="",Table1[[#This Row],[Interview_Date]]=""),"",Table1[[#This Row],[Offer_Date]]-Table1[[#This Row],[Interview_Date]])</f>
        <v/>
      </c>
    </row>
    <row r="555" spans="1:2" x14ac:dyDescent="0.3">
      <c r="A555">
        <f>Table1[[#This Row],[Interview_Date]]-Table1[[#This Row],[Application_Date]]</f>
        <v>3</v>
      </c>
      <c r="B555" t="str">
        <f>IF(OR(Table1[[#This Row],[Offer_Date]]="",Table1[[#This Row],[Interview_Date]]=""),"",Table1[[#This Row],[Offer_Date]]-Table1[[#This Row],[Interview_Date]])</f>
        <v/>
      </c>
    </row>
    <row r="556" spans="1:2" x14ac:dyDescent="0.3">
      <c r="A556">
        <f>Table1[[#This Row],[Interview_Date]]-Table1[[#This Row],[Application_Date]]</f>
        <v>11</v>
      </c>
      <c r="B556">
        <f>IF(OR(Table1[[#This Row],[Offer_Date]]="",Table1[[#This Row],[Interview_Date]]=""),"",Table1[[#This Row],[Offer_Date]]-Table1[[#This Row],[Interview_Date]])</f>
        <v>5</v>
      </c>
    </row>
    <row r="557" spans="1:2" x14ac:dyDescent="0.3">
      <c r="A557">
        <f>Table1[[#This Row],[Interview_Date]]-Table1[[#This Row],[Application_Date]]</f>
        <v>12</v>
      </c>
      <c r="B557">
        <f>IF(OR(Table1[[#This Row],[Offer_Date]]="",Table1[[#This Row],[Interview_Date]]=""),"",Table1[[#This Row],[Offer_Date]]-Table1[[#This Row],[Interview_Date]])</f>
        <v>5</v>
      </c>
    </row>
    <row r="558" spans="1:2" x14ac:dyDescent="0.3">
      <c r="A558">
        <f>Table1[[#This Row],[Interview_Date]]-Table1[[#This Row],[Application_Date]]</f>
        <v>10</v>
      </c>
      <c r="B558" t="str">
        <f>IF(OR(Table1[[#This Row],[Offer_Date]]="",Table1[[#This Row],[Interview_Date]]=""),"",Table1[[#This Row],[Offer_Date]]-Table1[[#This Row],[Interview_Date]])</f>
        <v/>
      </c>
    </row>
    <row r="559" spans="1:2" x14ac:dyDescent="0.3">
      <c r="A559">
        <f>Table1[[#This Row],[Interview_Date]]-Table1[[#This Row],[Application_Date]]</f>
        <v>3</v>
      </c>
      <c r="B559">
        <f>IF(OR(Table1[[#This Row],[Offer_Date]]="",Table1[[#This Row],[Interview_Date]]=""),"",Table1[[#This Row],[Offer_Date]]-Table1[[#This Row],[Interview_Date]])</f>
        <v>4</v>
      </c>
    </row>
    <row r="560" spans="1:2" x14ac:dyDescent="0.3">
      <c r="A560">
        <f>Table1[[#This Row],[Interview_Date]]-Table1[[#This Row],[Application_Date]]</f>
        <v>10</v>
      </c>
      <c r="B560" t="str">
        <f>IF(OR(Table1[[#This Row],[Offer_Date]]="",Table1[[#This Row],[Interview_Date]]=""),"",Table1[[#This Row],[Offer_Date]]-Table1[[#This Row],[Interview_Date]])</f>
        <v/>
      </c>
    </row>
    <row r="561" spans="1:2" x14ac:dyDescent="0.3">
      <c r="A561">
        <f>Table1[[#This Row],[Interview_Date]]-Table1[[#This Row],[Application_Date]]</f>
        <v>9</v>
      </c>
      <c r="B561">
        <f>IF(OR(Table1[[#This Row],[Offer_Date]]="",Table1[[#This Row],[Interview_Date]]=""),"",Table1[[#This Row],[Offer_Date]]-Table1[[#This Row],[Interview_Date]])</f>
        <v>6</v>
      </c>
    </row>
    <row r="562" spans="1:2" x14ac:dyDescent="0.3">
      <c r="A562">
        <f>Table1[[#This Row],[Interview_Date]]-Table1[[#This Row],[Application_Date]]</f>
        <v>6</v>
      </c>
      <c r="B562" t="str">
        <f>IF(OR(Table1[[#This Row],[Offer_Date]]="",Table1[[#This Row],[Interview_Date]]=""),"",Table1[[#This Row],[Offer_Date]]-Table1[[#This Row],[Interview_Date]])</f>
        <v/>
      </c>
    </row>
    <row r="563" spans="1:2" x14ac:dyDescent="0.3">
      <c r="A563">
        <f>Table1[[#This Row],[Interview_Date]]-Table1[[#This Row],[Application_Date]]</f>
        <v>10</v>
      </c>
      <c r="B563">
        <f>IF(OR(Table1[[#This Row],[Offer_Date]]="",Table1[[#This Row],[Interview_Date]]=""),"",Table1[[#This Row],[Offer_Date]]-Table1[[#This Row],[Interview_Date]])</f>
        <v>5</v>
      </c>
    </row>
    <row r="564" spans="1:2" x14ac:dyDescent="0.3">
      <c r="A564">
        <f>Table1[[#This Row],[Interview_Date]]-Table1[[#This Row],[Application_Date]]</f>
        <v>10</v>
      </c>
      <c r="B564" t="str">
        <f>IF(OR(Table1[[#This Row],[Offer_Date]]="",Table1[[#This Row],[Interview_Date]]=""),"",Table1[[#This Row],[Offer_Date]]-Table1[[#This Row],[Interview_Date]])</f>
        <v/>
      </c>
    </row>
    <row r="565" spans="1:2" x14ac:dyDescent="0.3">
      <c r="A565">
        <f>Table1[[#This Row],[Interview_Date]]-Table1[[#This Row],[Application_Date]]</f>
        <v>10</v>
      </c>
      <c r="B565" t="str">
        <f>IF(OR(Table1[[#This Row],[Offer_Date]]="",Table1[[#This Row],[Interview_Date]]=""),"",Table1[[#This Row],[Offer_Date]]-Table1[[#This Row],[Interview_Date]])</f>
        <v/>
      </c>
    </row>
    <row r="566" spans="1:2" x14ac:dyDescent="0.3">
      <c r="A566">
        <f>Table1[[#This Row],[Interview_Date]]-Table1[[#This Row],[Application_Date]]</f>
        <v>4</v>
      </c>
      <c r="B566">
        <f>IF(OR(Table1[[#This Row],[Offer_Date]]="",Table1[[#This Row],[Interview_Date]]=""),"",Table1[[#This Row],[Offer_Date]]-Table1[[#This Row],[Interview_Date]])</f>
        <v>2</v>
      </c>
    </row>
    <row r="567" spans="1:2" x14ac:dyDescent="0.3">
      <c r="A567">
        <f>Table1[[#This Row],[Interview_Date]]-Table1[[#This Row],[Application_Date]]</f>
        <v>12</v>
      </c>
      <c r="B567" t="str">
        <f>IF(OR(Table1[[#This Row],[Offer_Date]]="",Table1[[#This Row],[Interview_Date]]=""),"",Table1[[#This Row],[Offer_Date]]-Table1[[#This Row],[Interview_Date]])</f>
        <v/>
      </c>
    </row>
    <row r="568" spans="1:2" x14ac:dyDescent="0.3">
      <c r="A568">
        <f>Table1[[#This Row],[Interview_Date]]-Table1[[#This Row],[Application_Date]]</f>
        <v>14</v>
      </c>
      <c r="B568" t="str">
        <f>IF(OR(Table1[[#This Row],[Offer_Date]]="",Table1[[#This Row],[Interview_Date]]=""),"",Table1[[#This Row],[Offer_Date]]-Table1[[#This Row],[Interview_Date]])</f>
        <v/>
      </c>
    </row>
    <row r="569" spans="1:2" x14ac:dyDescent="0.3">
      <c r="A569">
        <f>Table1[[#This Row],[Interview_Date]]-Table1[[#This Row],[Application_Date]]</f>
        <v>3</v>
      </c>
      <c r="B569" t="str">
        <f>IF(OR(Table1[[#This Row],[Offer_Date]]="",Table1[[#This Row],[Interview_Date]]=""),"",Table1[[#This Row],[Offer_Date]]-Table1[[#This Row],[Interview_Date]])</f>
        <v/>
      </c>
    </row>
    <row r="570" spans="1:2" x14ac:dyDescent="0.3">
      <c r="A570">
        <f>Table1[[#This Row],[Interview_Date]]-Table1[[#This Row],[Application_Date]]</f>
        <v>14</v>
      </c>
      <c r="B570" t="str">
        <f>IF(OR(Table1[[#This Row],[Offer_Date]]="",Table1[[#This Row],[Interview_Date]]=""),"",Table1[[#This Row],[Offer_Date]]-Table1[[#This Row],[Interview_Date]])</f>
        <v/>
      </c>
    </row>
    <row r="571" spans="1:2" x14ac:dyDescent="0.3">
      <c r="A571">
        <f>Table1[[#This Row],[Interview_Date]]-Table1[[#This Row],[Application_Date]]</f>
        <v>8</v>
      </c>
      <c r="B571">
        <f>IF(OR(Table1[[#This Row],[Offer_Date]]="",Table1[[#This Row],[Interview_Date]]=""),"",Table1[[#This Row],[Offer_Date]]-Table1[[#This Row],[Interview_Date]])</f>
        <v>7</v>
      </c>
    </row>
    <row r="572" spans="1:2" x14ac:dyDescent="0.3">
      <c r="A572">
        <f>Table1[[#This Row],[Interview_Date]]-Table1[[#This Row],[Application_Date]]</f>
        <v>4</v>
      </c>
      <c r="B572" t="str">
        <f>IF(OR(Table1[[#This Row],[Offer_Date]]="",Table1[[#This Row],[Interview_Date]]=""),"",Table1[[#This Row],[Offer_Date]]-Table1[[#This Row],[Interview_Date]])</f>
        <v/>
      </c>
    </row>
    <row r="573" spans="1:2" x14ac:dyDescent="0.3">
      <c r="A573">
        <f>Table1[[#This Row],[Interview_Date]]-Table1[[#This Row],[Application_Date]]</f>
        <v>5</v>
      </c>
      <c r="B573">
        <f>IF(OR(Table1[[#This Row],[Offer_Date]]="",Table1[[#This Row],[Interview_Date]]=""),"",Table1[[#This Row],[Offer_Date]]-Table1[[#This Row],[Interview_Date]])</f>
        <v>4</v>
      </c>
    </row>
    <row r="574" spans="1:2" x14ac:dyDescent="0.3">
      <c r="A574">
        <f>Table1[[#This Row],[Interview_Date]]-Table1[[#This Row],[Application_Date]]</f>
        <v>12</v>
      </c>
      <c r="B574" t="str">
        <f>IF(OR(Table1[[#This Row],[Offer_Date]]="",Table1[[#This Row],[Interview_Date]]=""),"",Table1[[#This Row],[Offer_Date]]-Table1[[#This Row],[Interview_Date]])</f>
        <v/>
      </c>
    </row>
    <row r="575" spans="1:2" x14ac:dyDescent="0.3">
      <c r="A575">
        <f>Table1[[#This Row],[Interview_Date]]-Table1[[#This Row],[Application_Date]]</f>
        <v>15</v>
      </c>
      <c r="B575">
        <f>IF(OR(Table1[[#This Row],[Offer_Date]]="",Table1[[#This Row],[Interview_Date]]=""),"",Table1[[#This Row],[Offer_Date]]-Table1[[#This Row],[Interview_Date]])</f>
        <v>3</v>
      </c>
    </row>
    <row r="576" spans="1:2" x14ac:dyDescent="0.3">
      <c r="A576">
        <f>Table1[[#This Row],[Interview_Date]]-Table1[[#This Row],[Application_Date]]</f>
        <v>4</v>
      </c>
      <c r="B576">
        <f>IF(OR(Table1[[#This Row],[Offer_Date]]="",Table1[[#This Row],[Interview_Date]]=""),"",Table1[[#This Row],[Offer_Date]]-Table1[[#This Row],[Interview_Date]])</f>
        <v>7</v>
      </c>
    </row>
    <row r="577" spans="1:2" x14ac:dyDescent="0.3">
      <c r="A577">
        <f>Table1[[#This Row],[Interview_Date]]-Table1[[#This Row],[Application_Date]]</f>
        <v>7</v>
      </c>
      <c r="B577">
        <f>IF(OR(Table1[[#This Row],[Offer_Date]]="",Table1[[#This Row],[Interview_Date]]=""),"",Table1[[#This Row],[Offer_Date]]-Table1[[#This Row],[Interview_Date]])</f>
        <v>7</v>
      </c>
    </row>
    <row r="578" spans="1:2" x14ac:dyDescent="0.3">
      <c r="A578">
        <f>Table1[[#This Row],[Interview_Date]]-Table1[[#This Row],[Application_Date]]</f>
        <v>7</v>
      </c>
      <c r="B578" t="str">
        <f>IF(OR(Table1[[#This Row],[Offer_Date]]="",Table1[[#This Row],[Interview_Date]]=""),"",Table1[[#This Row],[Offer_Date]]-Table1[[#This Row],[Interview_Date]])</f>
        <v/>
      </c>
    </row>
    <row r="579" spans="1:2" x14ac:dyDescent="0.3">
      <c r="A579">
        <f>Table1[[#This Row],[Interview_Date]]-Table1[[#This Row],[Application_Date]]</f>
        <v>4</v>
      </c>
      <c r="B579" t="str">
        <f>IF(OR(Table1[[#This Row],[Offer_Date]]="",Table1[[#This Row],[Interview_Date]]=""),"",Table1[[#This Row],[Offer_Date]]-Table1[[#This Row],[Interview_Date]])</f>
        <v/>
      </c>
    </row>
    <row r="580" spans="1:2" x14ac:dyDescent="0.3">
      <c r="A580">
        <f>Table1[[#This Row],[Interview_Date]]-Table1[[#This Row],[Application_Date]]</f>
        <v>11</v>
      </c>
      <c r="B580">
        <f>IF(OR(Table1[[#This Row],[Offer_Date]]="",Table1[[#This Row],[Interview_Date]]=""),"",Table1[[#This Row],[Offer_Date]]-Table1[[#This Row],[Interview_Date]])</f>
        <v>3</v>
      </c>
    </row>
    <row r="581" spans="1:2" x14ac:dyDescent="0.3">
      <c r="A581">
        <f>Table1[[#This Row],[Interview_Date]]-Table1[[#This Row],[Application_Date]]</f>
        <v>7</v>
      </c>
      <c r="B581" t="str">
        <f>IF(OR(Table1[[#This Row],[Offer_Date]]="",Table1[[#This Row],[Interview_Date]]=""),"",Table1[[#This Row],[Offer_Date]]-Table1[[#This Row],[Interview_Date]])</f>
        <v/>
      </c>
    </row>
    <row r="582" spans="1:2" x14ac:dyDescent="0.3">
      <c r="A582">
        <f>Table1[[#This Row],[Interview_Date]]-Table1[[#This Row],[Application_Date]]</f>
        <v>5</v>
      </c>
      <c r="B582" t="str">
        <f>IF(OR(Table1[[#This Row],[Offer_Date]]="",Table1[[#This Row],[Interview_Date]]=""),"",Table1[[#This Row],[Offer_Date]]-Table1[[#This Row],[Interview_Date]])</f>
        <v/>
      </c>
    </row>
    <row r="583" spans="1:2" x14ac:dyDescent="0.3">
      <c r="A583">
        <f>Table1[[#This Row],[Interview_Date]]-Table1[[#This Row],[Application_Date]]</f>
        <v>6</v>
      </c>
      <c r="B583">
        <f>IF(OR(Table1[[#This Row],[Offer_Date]]="",Table1[[#This Row],[Interview_Date]]=""),"",Table1[[#This Row],[Offer_Date]]-Table1[[#This Row],[Interview_Date]])</f>
        <v>7</v>
      </c>
    </row>
    <row r="584" spans="1:2" x14ac:dyDescent="0.3">
      <c r="A584">
        <f>Table1[[#This Row],[Interview_Date]]-Table1[[#This Row],[Application_Date]]</f>
        <v>12</v>
      </c>
      <c r="B584">
        <f>IF(OR(Table1[[#This Row],[Offer_Date]]="",Table1[[#This Row],[Interview_Date]]=""),"",Table1[[#This Row],[Offer_Date]]-Table1[[#This Row],[Interview_Date]])</f>
        <v>2</v>
      </c>
    </row>
    <row r="585" spans="1:2" x14ac:dyDescent="0.3">
      <c r="A585">
        <f>Table1[[#This Row],[Interview_Date]]-Table1[[#This Row],[Application_Date]]</f>
        <v>8</v>
      </c>
      <c r="B585" t="str">
        <f>IF(OR(Table1[[#This Row],[Offer_Date]]="",Table1[[#This Row],[Interview_Date]]=""),"",Table1[[#This Row],[Offer_Date]]-Table1[[#This Row],[Interview_Date]])</f>
        <v/>
      </c>
    </row>
    <row r="586" spans="1:2" x14ac:dyDescent="0.3">
      <c r="A586">
        <f>Table1[[#This Row],[Interview_Date]]-Table1[[#This Row],[Application_Date]]</f>
        <v>3</v>
      </c>
      <c r="B586">
        <f>IF(OR(Table1[[#This Row],[Offer_Date]]="",Table1[[#This Row],[Interview_Date]]=""),"",Table1[[#This Row],[Offer_Date]]-Table1[[#This Row],[Interview_Date]])</f>
        <v>7</v>
      </c>
    </row>
    <row r="587" spans="1:2" x14ac:dyDescent="0.3">
      <c r="A587">
        <f>Table1[[#This Row],[Interview_Date]]-Table1[[#This Row],[Application_Date]]</f>
        <v>8</v>
      </c>
      <c r="B587" t="str">
        <f>IF(OR(Table1[[#This Row],[Offer_Date]]="",Table1[[#This Row],[Interview_Date]]=""),"",Table1[[#This Row],[Offer_Date]]-Table1[[#This Row],[Interview_Date]])</f>
        <v/>
      </c>
    </row>
    <row r="588" spans="1:2" x14ac:dyDescent="0.3">
      <c r="A588">
        <f>Table1[[#This Row],[Interview_Date]]-Table1[[#This Row],[Application_Date]]</f>
        <v>8</v>
      </c>
      <c r="B588">
        <f>IF(OR(Table1[[#This Row],[Offer_Date]]="",Table1[[#This Row],[Interview_Date]]=""),"",Table1[[#This Row],[Offer_Date]]-Table1[[#This Row],[Interview_Date]])</f>
        <v>3</v>
      </c>
    </row>
    <row r="589" spans="1:2" x14ac:dyDescent="0.3">
      <c r="A589">
        <f>Table1[[#This Row],[Interview_Date]]-Table1[[#This Row],[Application_Date]]</f>
        <v>7</v>
      </c>
      <c r="B589">
        <f>IF(OR(Table1[[#This Row],[Offer_Date]]="",Table1[[#This Row],[Interview_Date]]=""),"",Table1[[#This Row],[Offer_Date]]-Table1[[#This Row],[Interview_Date]])</f>
        <v>7</v>
      </c>
    </row>
    <row r="590" spans="1:2" x14ac:dyDescent="0.3">
      <c r="A590">
        <f>Table1[[#This Row],[Interview_Date]]-Table1[[#This Row],[Application_Date]]</f>
        <v>4</v>
      </c>
      <c r="B590" t="str">
        <f>IF(OR(Table1[[#This Row],[Offer_Date]]="",Table1[[#This Row],[Interview_Date]]=""),"",Table1[[#This Row],[Offer_Date]]-Table1[[#This Row],[Interview_Date]])</f>
        <v/>
      </c>
    </row>
    <row r="591" spans="1:2" x14ac:dyDescent="0.3">
      <c r="A591">
        <f>Table1[[#This Row],[Interview_Date]]-Table1[[#This Row],[Application_Date]]</f>
        <v>8</v>
      </c>
      <c r="B591">
        <f>IF(OR(Table1[[#This Row],[Offer_Date]]="",Table1[[#This Row],[Interview_Date]]=""),"",Table1[[#This Row],[Offer_Date]]-Table1[[#This Row],[Interview_Date]])</f>
        <v>4</v>
      </c>
    </row>
    <row r="592" spans="1:2" x14ac:dyDescent="0.3">
      <c r="A592">
        <f>Table1[[#This Row],[Interview_Date]]-Table1[[#This Row],[Application_Date]]</f>
        <v>7</v>
      </c>
      <c r="B592">
        <f>IF(OR(Table1[[#This Row],[Offer_Date]]="",Table1[[#This Row],[Interview_Date]]=""),"",Table1[[#This Row],[Offer_Date]]-Table1[[#This Row],[Interview_Date]])</f>
        <v>2</v>
      </c>
    </row>
    <row r="593" spans="1:2" x14ac:dyDescent="0.3">
      <c r="A593">
        <f>Table1[[#This Row],[Interview_Date]]-Table1[[#This Row],[Application_Date]]</f>
        <v>5</v>
      </c>
      <c r="B593" t="str">
        <f>IF(OR(Table1[[#This Row],[Offer_Date]]="",Table1[[#This Row],[Interview_Date]]=""),"",Table1[[#This Row],[Offer_Date]]-Table1[[#This Row],[Interview_Date]])</f>
        <v/>
      </c>
    </row>
    <row r="594" spans="1:2" x14ac:dyDescent="0.3">
      <c r="A594">
        <f>Table1[[#This Row],[Interview_Date]]-Table1[[#This Row],[Application_Date]]</f>
        <v>14</v>
      </c>
      <c r="B594">
        <f>IF(OR(Table1[[#This Row],[Offer_Date]]="",Table1[[#This Row],[Interview_Date]]=""),"",Table1[[#This Row],[Offer_Date]]-Table1[[#This Row],[Interview_Date]])</f>
        <v>5</v>
      </c>
    </row>
    <row r="595" spans="1:2" x14ac:dyDescent="0.3">
      <c r="A595">
        <f>Table1[[#This Row],[Interview_Date]]-Table1[[#This Row],[Application_Date]]</f>
        <v>3</v>
      </c>
      <c r="B595">
        <f>IF(OR(Table1[[#This Row],[Offer_Date]]="",Table1[[#This Row],[Interview_Date]]=""),"",Table1[[#This Row],[Offer_Date]]-Table1[[#This Row],[Interview_Date]])</f>
        <v>2</v>
      </c>
    </row>
    <row r="596" spans="1:2" x14ac:dyDescent="0.3">
      <c r="A596">
        <f>Table1[[#This Row],[Interview_Date]]-Table1[[#This Row],[Application_Date]]</f>
        <v>12</v>
      </c>
      <c r="B596">
        <f>IF(OR(Table1[[#This Row],[Offer_Date]]="",Table1[[#This Row],[Interview_Date]]=""),"",Table1[[#This Row],[Offer_Date]]-Table1[[#This Row],[Interview_Date]])</f>
        <v>7</v>
      </c>
    </row>
    <row r="597" spans="1:2" x14ac:dyDescent="0.3">
      <c r="A597">
        <f>Table1[[#This Row],[Interview_Date]]-Table1[[#This Row],[Application_Date]]</f>
        <v>12</v>
      </c>
      <c r="B597" t="str">
        <f>IF(OR(Table1[[#This Row],[Offer_Date]]="",Table1[[#This Row],[Interview_Date]]=""),"",Table1[[#This Row],[Offer_Date]]-Table1[[#This Row],[Interview_Date]])</f>
        <v/>
      </c>
    </row>
    <row r="598" spans="1:2" x14ac:dyDescent="0.3">
      <c r="A598">
        <f>Table1[[#This Row],[Interview_Date]]-Table1[[#This Row],[Application_Date]]</f>
        <v>14</v>
      </c>
      <c r="B598">
        <f>IF(OR(Table1[[#This Row],[Offer_Date]]="",Table1[[#This Row],[Interview_Date]]=""),"",Table1[[#This Row],[Offer_Date]]-Table1[[#This Row],[Interview_Date]])</f>
        <v>3</v>
      </c>
    </row>
    <row r="599" spans="1:2" x14ac:dyDescent="0.3">
      <c r="A599">
        <f>Table1[[#This Row],[Interview_Date]]-Table1[[#This Row],[Application_Date]]</f>
        <v>13</v>
      </c>
      <c r="B599" t="str">
        <f>IF(OR(Table1[[#This Row],[Offer_Date]]="",Table1[[#This Row],[Interview_Date]]=""),"",Table1[[#This Row],[Offer_Date]]-Table1[[#This Row],[Interview_Date]])</f>
        <v/>
      </c>
    </row>
    <row r="600" spans="1:2" x14ac:dyDescent="0.3">
      <c r="A600">
        <f>Table1[[#This Row],[Interview_Date]]-Table1[[#This Row],[Application_Date]]</f>
        <v>15</v>
      </c>
      <c r="B600">
        <f>IF(OR(Table1[[#This Row],[Offer_Date]]="",Table1[[#This Row],[Interview_Date]]=""),"",Table1[[#This Row],[Offer_Date]]-Table1[[#This Row],[Interview_Date]])</f>
        <v>3</v>
      </c>
    </row>
    <row r="601" spans="1:2" x14ac:dyDescent="0.3">
      <c r="A601">
        <f>Table1[[#This Row],[Interview_Date]]-Table1[[#This Row],[Application_Date]]</f>
        <v>8</v>
      </c>
      <c r="B601" t="str">
        <f>IF(OR(Table1[[#This Row],[Offer_Date]]="",Table1[[#This Row],[Interview_Date]]=""),"",Table1[[#This Row],[Offer_Date]]-Table1[[#This Row],[Interview_Date]])</f>
        <v/>
      </c>
    </row>
    <row r="602" spans="1:2" x14ac:dyDescent="0.3">
      <c r="A602">
        <f>Table1[[#This Row],[Interview_Date]]-Table1[[#This Row],[Application_Date]]</f>
        <v>14</v>
      </c>
      <c r="B602">
        <f>IF(OR(Table1[[#This Row],[Offer_Date]]="",Table1[[#This Row],[Interview_Date]]=""),"",Table1[[#This Row],[Offer_Date]]-Table1[[#This Row],[Interview_Date]])</f>
        <v>7</v>
      </c>
    </row>
    <row r="603" spans="1:2" x14ac:dyDescent="0.3">
      <c r="A603">
        <f>Table1[[#This Row],[Interview_Date]]-Table1[[#This Row],[Application_Date]]</f>
        <v>14</v>
      </c>
      <c r="B603">
        <f>IF(OR(Table1[[#This Row],[Offer_Date]]="",Table1[[#This Row],[Interview_Date]]=""),"",Table1[[#This Row],[Offer_Date]]-Table1[[#This Row],[Interview_Date]])</f>
        <v>6</v>
      </c>
    </row>
    <row r="604" spans="1:2" x14ac:dyDescent="0.3">
      <c r="A604">
        <f>Table1[[#This Row],[Interview_Date]]-Table1[[#This Row],[Application_Date]]</f>
        <v>10</v>
      </c>
      <c r="B604" t="str">
        <f>IF(OR(Table1[[#This Row],[Offer_Date]]="",Table1[[#This Row],[Interview_Date]]=""),"",Table1[[#This Row],[Offer_Date]]-Table1[[#This Row],[Interview_Date]])</f>
        <v/>
      </c>
    </row>
    <row r="605" spans="1:2" x14ac:dyDescent="0.3">
      <c r="A605">
        <f>Table1[[#This Row],[Interview_Date]]-Table1[[#This Row],[Application_Date]]</f>
        <v>9</v>
      </c>
      <c r="B605">
        <f>IF(OR(Table1[[#This Row],[Offer_Date]]="",Table1[[#This Row],[Interview_Date]]=""),"",Table1[[#This Row],[Offer_Date]]-Table1[[#This Row],[Interview_Date]])</f>
        <v>2</v>
      </c>
    </row>
    <row r="606" spans="1:2" x14ac:dyDescent="0.3">
      <c r="A606">
        <f>Table1[[#This Row],[Interview_Date]]-Table1[[#This Row],[Application_Date]]</f>
        <v>13</v>
      </c>
      <c r="B606" t="str">
        <f>IF(OR(Table1[[#This Row],[Offer_Date]]="",Table1[[#This Row],[Interview_Date]]=""),"",Table1[[#This Row],[Offer_Date]]-Table1[[#This Row],[Interview_Date]])</f>
        <v/>
      </c>
    </row>
    <row r="607" spans="1:2" x14ac:dyDescent="0.3">
      <c r="A607">
        <f>Table1[[#This Row],[Interview_Date]]-Table1[[#This Row],[Application_Date]]</f>
        <v>9</v>
      </c>
      <c r="B607">
        <f>IF(OR(Table1[[#This Row],[Offer_Date]]="",Table1[[#This Row],[Interview_Date]]=""),"",Table1[[#This Row],[Offer_Date]]-Table1[[#This Row],[Interview_Date]])</f>
        <v>5</v>
      </c>
    </row>
    <row r="608" spans="1:2" x14ac:dyDescent="0.3">
      <c r="A608">
        <f>Table1[[#This Row],[Interview_Date]]-Table1[[#This Row],[Application_Date]]</f>
        <v>6</v>
      </c>
      <c r="B608" t="str">
        <f>IF(OR(Table1[[#This Row],[Offer_Date]]="",Table1[[#This Row],[Interview_Date]]=""),"",Table1[[#This Row],[Offer_Date]]-Table1[[#This Row],[Interview_Date]])</f>
        <v/>
      </c>
    </row>
    <row r="609" spans="1:2" x14ac:dyDescent="0.3">
      <c r="A609">
        <f>Table1[[#This Row],[Interview_Date]]-Table1[[#This Row],[Application_Date]]</f>
        <v>9</v>
      </c>
      <c r="B609" t="str">
        <f>IF(OR(Table1[[#This Row],[Offer_Date]]="",Table1[[#This Row],[Interview_Date]]=""),"",Table1[[#This Row],[Offer_Date]]-Table1[[#This Row],[Interview_Date]])</f>
        <v/>
      </c>
    </row>
    <row r="610" spans="1:2" x14ac:dyDescent="0.3">
      <c r="A610">
        <f>Table1[[#This Row],[Interview_Date]]-Table1[[#This Row],[Application_Date]]</f>
        <v>12</v>
      </c>
      <c r="B610" t="str">
        <f>IF(OR(Table1[[#This Row],[Offer_Date]]="",Table1[[#This Row],[Interview_Date]]=""),"",Table1[[#This Row],[Offer_Date]]-Table1[[#This Row],[Interview_Date]])</f>
        <v/>
      </c>
    </row>
    <row r="611" spans="1:2" x14ac:dyDescent="0.3">
      <c r="A611">
        <f>Table1[[#This Row],[Interview_Date]]-Table1[[#This Row],[Application_Date]]</f>
        <v>11</v>
      </c>
      <c r="B611">
        <f>IF(OR(Table1[[#This Row],[Offer_Date]]="",Table1[[#This Row],[Interview_Date]]=""),"",Table1[[#This Row],[Offer_Date]]-Table1[[#This Row],[Interview_Date]])</f>
        <v>4</v>
      </c>
    </row>
    <row r="612" spans="1:2" x14ac:dyDescent="0.3">
      <c r="A612">
        <f>Table1[[#This Row],[Interview_Date]]-Table1[[#This Row],[Application_Date]]</f>
        <v>3</v>
      </c>
      <c r="B612" t="str">
        <f>IF(OR(Table1[[#This Row],[Offer_Date]]="",Table1[[#This Row],[Interview_Date]]=""),"",Table1[[#This Row],[Offer_Date]]-Table1[[#This Row],[Interview_Date]])</f>
        <v/>
      </c>
    </row>
    <row r="613" spans="1:2" x14ac:dyDescent="0.3">
      <c r="A613">
        <f>Table1[[#This Row],[Interview_Date]]-Table1[[#This Row],[Application_Date]]</f>
        <v>5</v>
      </c>
      <c r="B613">
        <f>IF(OR(Table1[[#This Row],[Offer_Date]]="",Table1[[#This Row],[Interview_Date]]=""),"",Table1[[#This Row],[Offer_Date]]-Table1[[#This Row],[Interview_Date]])</f>
        <v>7</v>
      </c>
    </row>
    <row r="614" spans="1:2" x14ac:dyDescent="0.3">
      <c r="A614">
        <f>Table1[[#This Row],[Interview_Date]]-Table1[[#This Row],[Application_Date]]</f>
        <v>9</v>
      </c>
      <c r="B614" t="str">
        <f>IF(OR(Table1[[#This Row],[Offer_Date]]="",Table1[[#This Row],[Interview_Date]]=""),"",Table1[[#This Row],[Offer_Date]]-Table1[[#This Row],[Interview_Date]])</f>
        <v/>
      </c>
    </row>
    <row r="615" spans="1:2" x14ac:dyDescent="0.3">
      <c r="A615">
        <f>Table1[[#This Row],[Interview_Date]]-Table1[[#This Row],[Application_Date]]</f>
        <v>14</v>
      </c>
      <c r="B615" t="str">
        <f>IF(OR(Table1[[#This Row],[Offer_Date]]="",Table1[[#This Row],[Interview_Date]]=""),"",Table1[[#This Row],[Offer_Date]]-Table1[[#This Row],[Interview_Date]])</f>
        <v/>
      </c>
    </row>
    <row r="616" spans="1:2" x14ac:dyDescent="0.3">
      <c r="A616">
        <f>Table1[[#This Row],[Interview_Date]]-Table1[[#This Row],[Application_Date]]</f>
        <v>13</v>
      </c>
      <c r="B616">
        <f>IF(OR(Table1[[#This Row],[Offer_Date]]="",Table1[[#This Row],[Interview_Date]]=""),"",Table1[[#This Row],[Offer_Date]]-Table1[[#This Row],[Interview_Date]])</f>
        <v>4</v>
      </c>
    </row>
    <row r="617" spans="1:2" x14ac:dyDescent="0.3">
      <c r="A617">
        <f>Table1[[#This Row],[Interview_Date]]-Table1[[#This Row],[Application_Date]]</f>
        <v>14</v>
      </c>
      <c r="B617" t="str">
        <f>IF(OR(Table1[[#This Row],[Offer_Date]]="",Table1[[#This Row],[Interview_Date]]=""),"",Table1[[#This Row],[Offer_Date]]-Table1[[#This Row],[Interview_Date]])</f>
        <v/>
      </c>
    </row>
    <row r="618" spans="1:2" x14ac:dyDescent="0.3">
      <c r="A618">
        <f>Table1[[#This Row],[Interview_Date]]-Table1[[#This Row],[Application_Date]]</f>
        <v>11</v>
      </c>
      <c r="B618">
        <f>IF(OR(Table1[[#This Row],[Offer_Date]]="",Table1[[#This Row],[Interview_Date]]=""),"",Table1[[#This Row],[Offer_Date]]-Table1[[#This Row],[Interview_Date]])</f>
        <v>6</v>
      </c>
    </row>
    <row r="619" spans="1:2" x14ac:dyDescent="0.3">
      <c r="A619">
        <f>Table1[[#This Row],[Interview_Date]]-Table1[[#This Row],[Application_Date]]</f>
        <v>12</v>
      </c>
      <c r="B619">
        <f>IF(OR(Table1[[#This Row],[Offer_Date]]="",Table1[[#This Row],[Interview_Date]]=""),"",Table1[[#This Row],[Offer_Date]]-Table1[[#This Row],[Interview_Date]])</f>
        <v>4</v>
      </c>
    </row>
    <row r="620" spans="1:2" x14ac:dyDescent="0.3">
      <c r="A620">
        <f>Table1[[#This Row],[Interview_Date]]-Table1[[#This Row],[Application_Date]]</f>
        <v>8</v>
      </c>
      <c r="B620" t="str">
        <f>IF(OR(Table1[[#This Row],[Offer_Date]]="",Table1[[#This Row],[Interview_Date]]=""),"",Table1[[#This Row],[Offer_Date]]-Table1[[#This Row],[Interview_Date]])</f>
        <v/>
      </c>
    </row>
    <row r="621" spans="1:2" x14ac:dyDescent="0.3">
      <c r="A621">
        <f>Table1[[#This Row],[Interview_Date]]-Table1[[#This Row],[Application_Date]]</f>
        <v>12</v>
      </c>
      <c r="B621" t="str">
        <f>IF(OR(Table1[[#This Row],[Offer_Date]]="",Table1[[#This Row],[Interview_Date]]=""),"",Table1[[#This Row],[Offer_Date]]-Table1[[#This Row],[Interview_Date]])</f>
        <v/>
      </c>
    </row>
    <row r="622" spans="1:2" x14ac:dyDescent="0.3">
      <c r="A622">
        <f>Table1[[#This Row],[Interview_Date]]-Table1[[#This Row],[Application_Date]]</f>
        <v>13</v>
      </c>
      <c r="B622" t="str">
        <f>IF(OR(Table1[[#This Row],[Offer_Date]]="",Table1[[#This Row],[Interview_Date]]=""),"",Table1[[#This Row],[Offer_Date]]-Table1[[#This Row],[Interview_Date]])</f>
        <v/>
      </c>
    </row>
    <row r="623" spans="1:2" x14ac:dyDescent="0.3">
      <c r="A623">
        <f>Table1[[#This Row],[Interview_Date]]-Table1[[#This Row],[Application_Date]]</f>
        <v>14</v>
      </c>
      <c r="B623" t="str">
        <f>IF(OR(Table1[[#This Row],[Offer_Date]]="",Table1[[#This Row],[Interview_Date]]=""),"",Table1[[#This Row],[Offer_Date]]-Table1[[#This Row],[Interview_Date]])</f>
        <v/>
      </c>
    </row>
    <row r="624" spans="1:2" x14ac:dyDescent="0.3">
      <c r="A624">
        <f>Table1[[#This Row],[Interview_Date]]-Table1[[#This Row],[Application_Date]]</f>
        <v>9</v>
      </c>
      <c r="B624">
        <f>IF(OR(Table1[[#This Row],[Offer_Date]]="",Table1[[#This Row],[Interview_Date]]=""),"",Table1[[#This Row],[Offer_Date]]-Table1[[#This Row],[Interview_Date]])</f>
        <v>7</v>
      </c>
    </row>
    <row r="625" spans="1:2" x14ac:dyDescent="0.3">
      <c r="A625">
        <f>Table1[[#This Row],[Interview_Date]]-Table1[[#This Row],[Application_Date]]</f>
        <v>3</v>
      </c>
      <c r="B625" t="str">
        <f>IF(OR(Table1[[#This Row],[Offer_Date]]="",Table1[[#This Row],[Interview_Date]]=""),"",Table1[[#This Row],[Offer_Date]]-Table1[[#This Row],[Interview_Date]])</f>
        <v/>
      </c>
    </row>
    <row r="626" spans="1:2" x14ac:dyDescent="0.3">
      <c r="A626">
        <f>Table1[[#This Row],[Interview_Date]]-Table1[[#This Row],[Application_Date]]</f>
        <v>8</v>
      </c>
      <c r="B626">
        <f>IF(OR(Table1[[#This Row],[Offer_Date]]="",Table1[[#This Row],[Interview_Date]]=""),"",Table1[[#This Row],[Offer_Date]]-Table1[[#This Row],[Interview_Date]])</f>
        <v>5</v>
      </c>
    </row>
    <row r="627" spans="1:2" x14ac:dyDescent="0.3">
      <c r="A627">
        <f>Table1[[#This Row],[Interview_Date]]-Table1[[#This Row],[Application_Date]]</f>
        <v>10</v>
      </c>
      <c r="B627">
        <f>IF(OR(Table1[[#This Row],[Offer_Date]]="",Table1[[#This Row],[Interview_Date]]=""),"",Table1[[#This Row],[Offer_Date]]-Table1[[#This Row],[Interview_Date]])</f>
        <v>3</v>
      </c>
    </row>
    <row r="628" spans="1:2" x14ac:dyDescent="0.3">
      <c r="A628">
        <f>Table1[[#This Row],[Interview_Date]]-Table1[[#This Row],[Application_Date]]</f>
        <v>8</v>
      </c>
      <c r="B628">
        <f>IF(OR(Table1[[#This Row],[Offer_Date]]="",Table1[[#This Row],[Interview_Date]]=""),"",Table1[[#This Row],[Offer_Date]]-Table1[[#This Row],[Interview_Date]])</f>
        <v>2</v>
      </c>
    </row>
    <row r="629" spans="1:2" x14ac:dyDescent="0.3">
      <c r="A629">
        <f>Table1[[#This Row],[Interview_Date]]-Table1[[#This Row],[Application_Date]]</f>
        <v>13</v>
      </c>
      <c r="B629" t="str">
        <f>IF(OR(Table1[[#This Row],[Offer_Date]]="",Table1[[#This Row],[Interview_Date]]=""),"",Table1[[#This Row],[Offer_Date]]-Table1[[#This Row],[Interview_Date]])</f>
        <v/>
      </c>
    </row>
    <row r="630" spans="1:2" x14ac:dyDescent="0.3">
      <c r="A630">
        <f>Table1[[#This Row],[Interview_Date]]-Table1[[#This Row],[Application_Date]]</f>
        <v>7</v>
      </c>
      <c r="B630" t="str">
        <f>IF(OR(Table1[[#This Row],[Offer_Date]]="",Table1[[#This Row],[Interview_Date]]=""),"",Table1[[#This Row],[Offer_Date]]-Table1[[#This Row],[Interview_Date]])</f>
        <v/>
      </c>
    </row>
    <row r="631" spans="1:2" x14ac:dyDescent="0.3">
      <c r="A631">
        <f>Table1[[#This Row],[Interview_Date]]-Table1[[#This Row],[Application_Date]]</f>
        <v>9</v>
      </c>
      <c r="B631">
        <f>IF(OR(Table1[[#This Row],[Offer_Date]]="",Table1[[#This Row],[Interview_Date]]=""),"",Table1[[#This Row],[Offer_Date]]-Table1[[#This Row],[Interview_Date]])</f>
        <v>5</v>
      </c>
    </row>
    <row r="632" spans="1:2" x14ac:dyDescent="0.3">
      <c r="A632">
        <f>Table1[[#This Row],[Interview_Date]]-Table1[[#This Row],[Application_Date]]</f>
        <v>9</v>
      </c>
      <c r="B632" t="str">
        <f>IF(OR(Table1[[#This Row],[Offer_Date]]="",Table1[[#This Row],[Interview_Date]]=""),"",Table1[[#This Row],[Offer_Date]]-Table1[[#This Row],[Interview_Date]])</f>
        <v/>
      </c>
    </row>
    <row r="633" spans="1:2" x14ac:dyDescent="0.3">
      <c r="A633">
        <f>Table1[[#This Row],[Interview_Date]]-Table1[[#This Row],[Application_Date]]</f>
        <v>5</v>
      </c>
      <c r="B633" t="str">
        <f>IF(OR(Table1[[#This Row],[Offer_Date]]="",Table1[[#This Row],[Interview_Date]]=""),"",Table1[[#This Row],[Offer_Date]]-Table1[[#This Row],[Interview_Date]])</f>
        <v/>
      </c>
    </row>
    <row r="634" spans="1:2" x14ac:dyDescent="0.3">
      <c r="A634">
        <f>Table1[[#This Row],[Interview_Date]]-Table1[[#This Row],[Application_Date]]</f>
        <v>3</v>
      </c>
      <c r="B634">
        <f>IF(OR(Table1[[#This Row],[Offer_Date]]="",Table1[[#This Row],[Interview_Date]]=""),"",Table1[[#This Row],[Offer_Date]]-Table1[[#This Row],[Interview_Date]])</f>
        <v>4</v>
      </c>
    </row>
    <row r="635" spans="1:2" x14ac:dyDescent="0.3">
      <c r="A635">
        <f>Table1[[#This Row],[Interview_Date]]-Table1[[#This Row],[Application_Date]]</f>
        <v>13</v>
      </c>
      <c r="B635" t="str">
        <f>IF(OR(Table1[[#This Row],[Offer_Date]]="",Table1[[#This Row],[Interview_Date]]=""),"",Table1[[#This Row],[Offer_Date]]-Table1[[#This Row],[Interview_Date]])</f>
        <v/>
      </c>
    </row>
    <row r="636" spans="1:2" x14ac:dyDescent="0.3">
      <c r="A636">
        <f>Table1[[#This Row],[Interview_Date]]-Table1[[#This Row],[Application_Date]]</f>
        <v>5</v>
      </c>
      <c r="B636">
        <f>IF(OR(Table1[[#This Row],[Offer_Date]]="",Table1[[#This Row],[Interview_Date]]=""),"",Table1[[#This Row],[Offer_Date]]-Table1[[#This Row],[Interview_Date]])</f>
        <v>2</v>
      </c>
    </row>
    <row r="637" spans="1:2" x14ac:dyDescent="0.3">
      <c r="A637">
        <f>Table1[[#This Row],[Interview_Date]]-Table1[[#This Row],[Application_Date]]</f>
        <v>3</v>
      </c>
      <c r="B637">
        <f>IF(OR(Table1[[#This Row],[Offer_Date]]="",Table1[[#This Row],[Interview_Date]]=""),"",Table1[[#This Row],[Offer_Date]]-Table1[[#This Row],[Interview_Date]])</f>
        <v>5</v>
      </c>
    </row>
    <row r="638" spans="1:2" x14ac:dyDescent="0.3">
      <c r="A638">
        <f>Table1[[#This Row],[Interview_Date]]-Table1[[#This Row],[Application_Date]]</f>
        <v>7</v>
      </c>
      <c r="B638" t="str">
        <f>IF(OR(Table1[[#This Row],[Offer_Date]]="",Table1[[#This Row],[Interview_Date]]=""),"",Table1[[#This Row],[Offer_Date]]-Table1[[#This Row],[Interview_Date]])</f>
        <v/>
      </c>
    </row>
    <row r="639" spans="1:2" x14ac:dyDescent="0.3">
      <c r="A639">
        <f>Table1[[#This Row],[Interview_Date]]-Table1[[#This Row],[Application_Date]]</f>
        <v>10</v>
      </c>
      <c r="B639" t="str">
        <f>IF(OR(Table1[[#This Row],[Offer_Date]]="",Table1[[#This Row],[Interview_Date]]=""),"",Table1[[#This Row],[Offer_Date]]-Table1[[#This Row],[Interview_Date]])</f>
        <v/>
      </c>
    </row>
    <row r="640" spans="1:2" x14ac:dyDescent="0.3">
      <c r="A640">
        <f>Table1[[#This Row],[Interview_Date]]-Table1[[#This Row],[Application_Date]]</f>
        <v>14</v>
      </c>
      <c r="B640">
        <f>IF(OR(Table1[[#This Row],[Offer_Date]]="",Table1[[#This Row],[Interview_Date]]=""),"",Table1[[#This Row],[Offer_Date]]-Table1[[#This Row],[Interview_Date]])</f>
        <v>2</v>
      </c>
    </row>
    <row r="641" spans="1:2" x14ac:dyDescent="0.3">
      <c r="A641">
        <f>Table1[[#This Row],[Interview_Date]]-Table1[[#This Row],[Application_Date]]</f>
        <v>6</v>
      </c>
      <c r="B641">
        <f>IF(OR(Table1[[#This Row],[Offer_Date]]="",Table1[[#This Row],[Interview_Date]]=""),"",Table1[[#This Row],[Offer_Date]]-Table1[[#This Row],[Interview_Date]])</f>
        <v>7</v>
      </c>
    </row>
    <row r="642" spans="1:2" x14ac:dyDescent="0.3">
      <c r="A642">
        <f>Table1[[#This Row],[Interview_Date]]-Table1[[#This Row],[Application_Date]]</f>
        <v>11</v>
      </c>
      <c r="B642">
        <f>IF(OR(Table1[[#This Row],[Offer_Date]]="",Table1[[#This Row],[Interview_Date]]=""),"",Table1[[#This Row],[Offer_Date]]-Table1[[#This Row],[Interview_Date]])</f>
        <v>3</v>
      </c>
    </row>
    <row r="643" spans="1:2" x14ac:dyDescent="0.3">
      <c r="A643">
        <f>Table1[[#This Row],[Interview_Date]]-Table1[[#This Row],[Application_Date]]</f>
        <v>7</v>
      </c>
      <c r="B643">
        <f>IF(OR(Table1[[#This Row],[Offer_Date]]="",Table1[[#This Row],[Interview_Date]]=""),"",Table1[[#This Row],[Offer_Date]]-Table1[[#This Row],[Interview_Date]])</f>
        <v>6</v>
      </c>
    </row>
    <row r="644" spans="1:2" x14ac:dyDescent="0.3">
      <c r="A644">
        <f>Table1[[#This Row],[Interview_Date]]-Table1[[#This Row],[Application_Date]]</f>
        <v>3</v>
      </c>
      <c r="B644">
        <f>IF(OR(Table1[[#This Row],[Offer_Date]]="",Table1[[#This Row],[Interview_Date]]=""),"",Table1[[#This Row],[Offer_Date]]-Table1[[#This Row],[Interview_Date]])</f>
        <v>6</v>
      </c>
    </row>
    <row r="645" spans="1:2" x14ac:dyDescent="0.3">
      <c r="A645">
        <f>Table1[[#This Row],[Interview_Date]]-Table1[[#This Row],[Application_Date]]</f>
        <v>8</v>
      </c>
      <c r="B645">
        <f>IF(OR(Table1[[#This Row],[Offer_Date]]="",Table1[[#This Row],[Interview_Date]]=""),"",Table1[[#This Row],[Offer_Date]]-Table1[[#This Row],[Interview_Date]])</f>
        <v>3</v>
      </c>
    </row>
    <row r="646" spans="1:2" x14ac:dyDescent="0.3">
      <c r="A646">
        <f>Table1[[#This Row],[Interview_Date]]-Table1[[#This Row],[Application_Date]]</f>
        <v>4</v>
      </c>
      <c r="B646">
        <f>IF(OR(Table1[[#This Row],[Offer_Date]]="",Table1[[#This Row],[Interview_Date]]=""),"",Table1[[#This Row],[Offer_Date]]-Table1[[#This Row],[Interview_Date]])</f>
        <v>2</v>
      </c>
    </row>
    <row r="647" spans="1:2" x14ac:dyDescent="0.3">
      <c r="A647">
        <f>Table1[[#This Row],[Interview_Date]]-Table1[[#This Row],[Application_Date]]</f>
        <v>10</v>
      </c>
      <c r="B647" t="str">
        <f>IF(OR(Table1[[#This Row],[Offer_Date]]="",Table1[[#This Row],[Interview_Date]]=""),"",Table1[[#This Row],[Offer_Date]]-Table1[[#This Row],[Interview_Date]])</f>
        <v/>
      </c>
    </row>
    <row r="648" spans="1:2" x14ac:dyDescent="0.3">
      <c r="A648">
        <f>Table1[[#This Row],[Interview_Date]]-Table1[[#This Row],[Application_Date]]</f>
        <v>13</v>
      </c>
      <c r="B648">
        <f>IF(OR(Table1[[#This Row],[Offer_Date]]="",Table1[[#This Row],[Interview_Date]]=""),"",Table1[[#This Row],[Offer_Date]]-Table1[[#This Row],[Interview_Date]])</f>
        <v>7</v>
      </c>
    </row>
    <row r="649" spans="1:2" x14ac:dyDescent="0.3">
      <c r="A649">
        <f>Table1[[#This Row],[Interview_Date]]-Table1[[#This Row],[Application_Date]]</f>
        <v>14</v>
      </c>
      <c r="B649">
        <f>IF(OR(Table1[[#This Row],[Offer_Date]]="",Table1[[#This Row],[Interview_Date]]=""),"",Table1[[#This Row],[Offer_Date]]-Table1[[#This Row],[Interview_Date]])</f>
        <v>7</v>
      </c>
    </row>
    <row r="650" spans="1:2" x14ac:dyDescent="0.3">
      <c r="A650">
        <f>Table1[[#This Row],[Interview_Date]]-Table1[[#This Row],[Application_Date]]</f>
        <v>15</v>
      </c>
      <c r="B650" t="str">
        <f>IF(OR(Table1[[#This Row],[Offer_Date]]="",Table1[[#This Row],[Interview_Date]]=""),"",Table1[[#This Row],[Offer_Date]]-Table1[[#This Row],[Interview_Date]])</f>
        <v/>
      </c>
    </row>
    <row r="651" spans="1:2" x14ac:dyDescent="0.3">
      <c r="A651">
        <f>Table1[[#This Row],[Interview_Date]]-Table1[[#This Row],[Application_Date]]</f>
        <v>15</v>
      </c>
      <c r="B651" t="str">
        <f>IF(OR(Table1[[#This Row],[Offer_Date]]="",Table1[[#This Row],[Interview_Date]]=""),"",Table1[[#This Row],[Offer_Date]]-Table1[[#This Row],[Interview_Date]])</f>
        <v/>
      </c>
    </row>
    <row r="652" spans="1:2" x14ac:dyDescent="0.3">
      <c r="A652">
        <f>Table1[[#This Row],[Interview_Date]]-Table1[[#This Row],[Application_Date]]</f>
        <v>11</v>
      </c>
      <c r="B652">
        <f>IF(OR(Table1[[#This Row],[Offer_Date]]="",Table1[[#This Row],[Interview_Date]]=""),"",Table1[[#This Row],[Offer_Date]]-Table1[[#This Row],[Interview_Date]])</f>
        <v>6</v>
      </c>
    </row>
    <row r="653" spans="1:2" x14ac:dyDescent="0.3">
      <c r="A653">
        <f>Table1[[#This Row],[Interview_Date]]-Table1[[#This Row],[Application_Date]]</f>
        <v>9</v>
      </c>
      <c r="B653" t="str">
        <f>IF(OR(Table1[[#This Row],[Offer_Date]]="",Table1[[#This Row],[Interview_Date]]=""),"",Table1[[#This Row],[Offer_Date]]-Table1[[#This Row],[Interview_Date]])</f>
        <v/>
      </c>
    </row>
    <row r="654" spans="1:2" x14ac:dyDescent="0.3">
      <c r="A654">
        <f>Table1[[#This Row],[Interview_Date]]-Table1[[#This Row],[Application_Date]]</f>
        <v>5</v>
      </c>
      <c r="B654">
        <f>IF(OR(Table1[[#This Row],[Offer_Date]]="",Table1[[#This Row],[Interview_Date]]=""),"",Table1[[#This Row],[Offer_Date]]-Table1[[#This Row],[Interview_Date]])</f>
        <v>3</v>
      </c>
    </row>
    <row r="655" spans="1:2" x14ac:dyDescent="0.3">
      <c r="A655">
        <f>Table1[[#This Row],[Interview_Date]]-Table1[[#This Row],[Application_Date]]</f>
        <v>11</v>
      </c>
      <c r="B655" t="str">
        <f>IF(OR(Table1[[#This Row],[Offer_Date]]="",Table1[[#This Row],[Interview_Date]]=""),"",Table1[[#This Row],[Offer_Date]]-Table1[[#This Row],[Interview_Date]])</f>
        <v/>
      </c>
    </row>
    <row r="656" spans="1:2" x14ac:dyDescent="0.3">
      <c r="A656">
        <f>Table1[[#This Row],[Interview_Date]]-Table1[[#This Row],[Application_Date]]</f>
        <v>9</v>
      </c>
      <c r="B656">
        <f>IF(OR(Table1[[#This Row],[Offer_Date]]="",Table1[[#This Row],[Interview_Date]]=""),"",Table1[[#This Row],[Offer_Date]]-Table1[[#This Row],[Interview_Date]])</f>
        <v>7</v>
      </c>
    </row>
    <row r="657" spans="1:2" x14ac:dyDescent="0.3">
      <c r="A657">
        <f>Table1[[#This Row],[Interview_Date]]-Table1[[#This Row],[Application_Date]]</f>
        <v>11</v>
      </c>
      <c r="B657" t="str">
        <f>IF(OR(Table1[[#This Row],[Offer_Date]]="",Table1[[#This Row],[Interview_Date]]=""),"",Table1[[#This Row],[Offer_Date]]-Table1[[#This Row],[Interview_Date]])</f>
        <v/>
      </c>
    </row>
    <row r="658" spans="1:2" x14ac:dyDescent="0.3">
      <c r="A658">
        <f>Table1[[#This Row],[Interview_Date]]-Table1[[#This Row],[Application_Date]]</f>
        <v>13</v>
      </c>
      <c r="B658" t="str">
        <f>IF(OR(Table1[[#This Row],[Offer_Date]]="",Table1[[#This Row],[Interview_Date]]=""),"",Table1[[#This Row],[Offer_Date]]-Table1[[#This Row],[Interview_Date]])</f>
        <v/>
      </c>
    </row>
    <row r="659" spans="1:2" x14ac:dyDescent="0.3">
      <c r="A659">
        <f>Table1[[#This Row],[Interview_Date]]-Table1[[#This Row],[Application_Date]]</f>
        <v>13</v>
      </c>
      <c r="B659">
        <f>IF(OR(Table1[[#This Row],[Offer_Date]]="",Table1[[#This Row],[Interview_Date]]=""),"",Table1[[#This Row],[Offer_Date]]-Table1[[#This Row],[Interview_Date]])</f>
        <v>6</v>
      </c>
    </row>
    <row r="660" spans="1:2" x14ac:dyDescent="0.3">
      <c r="A660">
        <f>Table1[[#This Row],[Interview_Date]]-Table1[[#This Row],[Application_Date]]</f>
        <v>10</v>
      </c>
      <c r="B660" t="str">
        <f>IF(OR(Table1[[#This Row],[Offer_Date]]="",Table1[[#This Row],[Interview_Date]]=""),"",Table1[[#This Row],[Offer_Date]]-Table1[[#This Row],[Interview_Date]])</f>
        <v/>
      </c>
    </row>
    <row r="661" spans="1:2" x14ac:dyDescent="0.3">
      <c r="A661">
        <f>Table1[[#This Row],[Interview_Date]]-Table1[[#This Row],[Application_Date]]</f>
        <v>9</v>
      </c>
      <c r="B661">
        <f>IF(OR(Table1[[#This Row],[Offer_Date]]="",Table1[[#This Row],[Interview_Date]]=""),"",Table1[[#This Row],[Offer_Date]]-Table1[[#This Row],[Interview_Date]])</f>
        <v>3</v>
      </c>
    </row>
    <row r="662" spans="1:2" x14ac:dyDescent="0.3">
      <c r="A662">
        <f>Table1[[#This Row],[Interview_Date]]-Table1[[#This Row],[Application_Date]]</f>
        <v>13</v>
      </c>
      <c r="B662" t="str">
        <f>IF(OR(Table1[[#This Row],[Offer_Date]]="",Table1[[#This Row],[Interview_Date]]=""),"",Table1[[#This Row],[Offer_Date]]-Table1[[#This Row],[Interview_Date]])</f>
        <v/>
      </c>
    </row>
    <row r="663" spans="1:2" x14ac:dyDescent="0.3">
      <c r="A663">
        <f>Table1[[#This Row],[Interview_Date]]-Table1[[#This Row],[Application_Date]]</f>
        <v>11</v>
      </c>
      <c r="B663">
        <f>IF(OR(Table1[[#This Row],[Offer_Date]]="",Table1[[#This Row],[Interview_Date]]=""),"",Table1[[#This Row],[Offer_Date]]-Table1[[#This Row],[Interview_Date]])</f>
        <v>3</v>
      </c>
    </row>
    <row r="664" spans="1:2" x14ac:dyDescent="0.3">
      <c r="A664">
        <f>Table1[[#This Row],[Interview_Date]]-Table1[[#This Row],[Application_Date]]</f>
        <v>8</v>
      </c>
      <c r="B664">
        <f>IF(OR(Table1[[#This Row],[Offer_Date]]="",Table1[[#This Row],[Interview_Date]]=""),"",Table1[[#This Row],[Offer_Date]]-Table1[[#This Row],[Interview_Date]])</f>
        <v>4</v>
      </c>
    </row>
    <row r="665" spans="1:2" x14ac:dyDescent="0.3">
      <c r="A665">
        <f>Table1[[#This Row],[Interview_Date]]-Table1[[#This Row],[Application_Date]]</f>
        <v>14</v>
      </c>
      <c r="B665" t="str">
        <f>IF(OR(Table1[[#This Row],[Offer_Date]]="",Table1[[#This Row],[Interview_Date]]=""),"",Table1[[#This Row],[Offer_Date]]-Table1[[#This Row],[Interview_Date]])</f>
        <v/>
      </c>
    </row>
    <row r="666" spans="1:2" x14ac:dyDescent="0.3">
      <c r="A666">
        <f>Table1[[#This Row],[Interview_Date]]-Table1[[#This Row],[Application_Date]]</f>
        <v>12</v>
      </c>
      <c r="B666" t="str">
        <f>IF(OR(Table1[[#This Row],[Offer_Date]]="",Table1[[#This Row],[Interview_Date]]=""),"",Table1[[#This Row],[Offer_Date]]-Table1[[#This Row],[Interview_Date]])</f>
        <v/>
      </c>
    </row>
    <row r="667" spans="1:2" x14ac:dyDescent="0.3">
      <c r="A667">
        <f>Table1[[#This Row],[Interview_Date]]-Table1[[#This Row],[Application_Date]]</f>
        <v>11</v>
      </c>
      <c r="B667">
        <f>IF(OR(Table1[[#This Row],[Offer_Date]]="",Table1[[#This Row],[Interview_Date]]=""),"",Table1[[#This Row],[Offer_Date]]-Table1[[#This Row],[Interview_Date]])</f>
        <v>3</v>
      </c>
    </row>
    <row r="668" spans="1:2" x14ac:dyDescent="0.3">
      <c r="A668">
        <f>Table1[[#This Row],[Interview_Date]]-Table1[[#This Row],[Application_Date]]</f>
        <v>3</v>
      </c>
      <c r="B668">
        <f>IF(OR(Table1[[#This Row],[Offer_Date]]="",Table1[[#This Row],[Interview_Date]]=""),"",Table1[[#This Row],[Offer_Date]]-Table1[[#This Row],[Interview_Date]])</f>
        <v>7</v>
      </c>
    </row>
    <row r="669" spans="1:2" x14ac:dyDescent="0.3">
      <c r="A669">
        <f>Table1[[#This Row],[Interview_Date]]-Table1[[#This Row],[Application_Date]]</f>
        <v>5</v>
      </c>
      <c r="B669">
        <f>IF(OR(Table1[[#This Row],[Offer_Date]]="",Table1[[#This Row],[Interview_Date]]=""),"",Table1[[#This Row],[Offer_Date]]-Table1[[#This Row],[Interview_Date]])</f>
        <v>6</v>
      </c>
    </row>
    <row r="670" spans="1:2" x14ac:dyDescent="0.3">
      <c r="A670">
        <f>Table1[[#This Row],[Interview_Date]]-Table1[[#This Row],[Application_Date]]</f>
        <v>3</v>
      </c>
      <c r="B670" t="str">
        <f>IF(OR(Table1[[#This Row],[Offer_Date]]="",Table1[[#This Row],[Interview_Date]]=""),"",Table1[[#This Row],[Offer_Date]]-Table1[[#This Row],[Interview_Date]])</f>
        <v/>
      </c>
    </row>
    <row r="671" spans="1:2" x14ac:dyDescent="0.3">
      <c r="A671">
        <f>Table1[[#This Row],[Interview_Date]]-Table1[[#This Row],[Application_Date]]</f>
        <v>8</v>
      </c>
      <c r="B671" t="str">
        <f>IF(OR(Table1[[#This Row],[Offer_Date]]="",Table1[[#This Row],[Interview_Date]]=""),"",Table1[[#This Row],[Offer_Date]]-Table1[[#This Row],[Interview_Date]])</f>
        <v/>
      </c>
    </row>
    <row r="672" spans="1:2" x14ac:dyDescent="0.3">
      <c r="A672">
        <f>Table1[[#This Row],[Interview_Date]]-Table1[[#This Row],[Application_Date]]</f>
        <v>10</v>
      </c>
      <c r="B672">
        <f>IF(OR(Table1[[#This Row],[Offer_Date]]="",Table1[[#This Row],[Interview_Date]]=""),"",Table1[[#This Row],[Offer_Date]]-Table1[[#This Row],[Interview_Date]])</f>
        <v>7</v>
      </c>
    </row>
    <row r="673" spans="1:2" x14ac:dyDescent="0.3">
      <c r="A673">
        <f>Table1[[#This Row],[Interview_Date]]-Table1[[#This Row],[Application_Date]]</f>
        <v>15</v>
      </c>
      <c r="B673">
        <f>IF(OR(Table1[[#This Row],[Offer_Date]]="",Table1[[#This Row],[Interview_Date]]=""),"",Table1[[#This Row],[Offer_Date]]-Table1[[#This Row],[Interview_Date]])</f>
        <v>4</v>
      </c>
    </row>
    <row r="674" spans="1:2" x14ac:dyDescent="0.3">
      <c r="A674">
        <f>Table1[[#This Row],[Interview_Date]]-Table1[[#This Row],[Application_Date]]</f>
        <v>12</v>
      </c>
      <c r="B674">
        <f>IF(OR(Table1[[#This Row],[Offer_Date]]="",Table1[[#This Row],[Interview_Date]]=""),"",Table1[[#This Row],[Offer_Date]]-Table1[[#This Row],[Interview_Date]])</f>
        <v>3</v>
      </c>
    </row>
    <row r="675" spans="1:2" x14ac:dyDescent="0.3">
      <c r="A675">
        <f>Table1[[#This Row],[Interview_Date]]-Table1[[#This Row],[Application_Date]]</f>
        <v>9</v>
      </c>
      <c r="B675">
        <f>IF(OR(Table1[[#This Row],[Offer_Date]]="",Table1[[#This Row],[Interview_Date]]=""),"",Table1[[#This Row],[Offer_Date]]-Table1[[#This Row],[Interview_Date]])</f>
        <v>2</v>
      </c>
    </row>
    <row r="676" spans="1:2" x14ac:dyDescent="0.3">
      <c r="A676">
        <f>Table1[[#This Row],[Interview_Date]]-Table1[[#This Row],[Application_Date]]</f>
        <v>9</v>
      </c>
      <c r="B676">
        <f>IF(OR(Table1[[#This Row],[Offer_Date]]="",Table1[[#This Row],[Interview_Date]]=""),"",Table1[[#This Row],[Offer_Date]]-Table1[[#This Row],[Interview_Date]])</f>
        <v>6</v>
      </c>
    </row>
    <row r="677" spans="1:2" x14ac:dyDescent="0.3">
      <c r="A677">
        <f>Table1[[#This Row],[Interview_Date]]-Table1[[#This Row],[Application_Date]]</f>
        <v>5</v>
      </c>
      <c r="B677" t="str">
        <f>IF(OR(Table1[[#This Row],[Offer_Date]]="",Table1[[#This Row],[Interview_Date]]=""),"",Table1[[#This Row],[Offer_Date]]-Table1[[#This Row],[Interview_Date]])</f>
        <v/>
      </c>
    </row>
    <row r="678" spans="1:2" x14ac:dyDescent="0.3">
      <c r="A678">
        <f>Table1[[#This Row],[Interview_Date]]-Table1[[#This Row],[Application_Date]]</f>
        <v>5</v>
      </c>
      <c r="B678">
        <f>IF(OR(Table1[[#This Row],[Offer_Date]]="",Table1[[#This Row],[Interview_Date]]=""),"",Table1[[#This Row],[Offer_Date]]-Table1[[#This Row],[Interview_Date]])</f>
        <v>7</v>
      </c>
    </row>
    <row r="679" spans="1:2" x14ac:dyDescent="0.3">
      <c r="A679">
        <f>Table1[[#This Row],[Interview_Date]]-Table1[[#This Row],[Application_Date]]</f>
        <v>15</v>
      </c>
      <c r="B679" t="str">
        <f>IF(OR(Table1[[#This Row],[Offer_Date]]="",Table1[[#This Row],[Interview_Date]]=""),"",Table1[[#This Row],[Offer_Date]]-Table1[[#This Row],[Interview_Date]])</f>
        <v/>
      </c>
    </row>
    <row r="680" spans="1:2" x14ac:dyDescent="0.3">
      <c r="A680">
        <f>Table1[[#This Row],[Interview_Date]]-Table1[[#This Row],[Application_Date]]</f>
        <v>7</v>
      </c>
      <c r="B680" t="str">
        <f>IF(OR(Table1[[#This Row],[Offer_Date]]="",Table1[[#This Row],[Interview_Date]]=""),"",Table1[[#This Row],[Offer_Date]]-Table1[[#This Row],[Interview_Date]])</f>
        <v/>
      </c>
    </row>
    <row r="681" spans="1:2" x14ac:dyDescent="0.3">
      <c r="A681">
        <f>Table1[[#This Row],[Interview_Date]]-Table1[[#This Row],[Application_Date]]</f>
        <v>7</v>
      </c>
      <c r="B681">
        <f>IF(OR(Table1[[#This Row],[Offer_Date]]="",Table1[[#This Row],[Interview_Date]]=""),"",Table1[[#This Row],[Offer_Date]]-Table1[[#This Row],[Interview_Date]])</f>
        <v>7</v>
      </c>
    </row>
    <row r="682" spans="1:2" x14ac:dyDescent="0.3">
      <c r="A682">
        <f>Table1[[#This Row],[Interview_Date]]-Table1[[#This Row],[Application_Date]]</f>
        <v>6</v>
      </c>
      <c r="B682">
        <f>IF(OR(Table1[[#This Row],[Offer_Date]]="",Table1[[#This Row],[Interview_Date]]=""),"",Table1[[#This Row],[Offer_Date]]-Table1[[#This Row],[Interview_Date]])</f>
        <v>6</v>
      </c>
    </row>
    <row r="683" spans="1:2" x14ac:dyDescent="0.3">
      <c r="A683">
        <f>Table1[[#This Row],[Interview_Date]]-Table1[[#This Row],[Application_Date]]</f>
        <v>11</v>
      </c>
      <c r="B683" t="str">
        <f>IF(OR(Table1[[#This Row],[Offer_Date]]="",Table1[[#This Row],[Interview_Date]]=""),"",Table1[[#This Row],[Offer_Date]]-Table1[[#This Row],[Interview_Date]])</f>
        <v/>
      </c>
    </row>
    <row r="684" spans="1:2" x14ac:dyDescent="0.3">
      <c r="A684">
        <f>Table1[[#This Row],[Interview_Date]]-Table1[[#This Row],[Application_Date]]</f>
        <v>10</v>
      </c>
      <c r="B684" t="str">
        <f>IF(OR(Table1[[#This Row],[Offer_Date]]="",Table1[[#This Row],[Interview_Date]]=""),"",Table1[[#This Row],[Offer_Date]]-Table1[[#This Row],[Interview_Date]])</f>
        <v/>
      </c>
    </row>
    <row r="685" spans="1:2" x14ac:dyDescent="0.3">
      <c r="A685">
        <f>Table1[[#This Row],[Interview_Date]]-Table1[[#This Row],[Application_Date]]</f>
        <v>7</v>
      </c>
      <c r="B685" t="str">
        <f>IF(OR(Table1[[#This Row],[Offer_Date]]="",Table1[[#This Row],[Interview_Date]]=""),"",Table1[[#This Row],[Offer_Date]]-Table1[[#This Row],[Interview_Date]])</f>
        <v/>
      </c>
    </row>
    <row r="686" spans="1:2" x14ac:dyDescent="0.3">
      <c r="A686">
        <f>Table1[[#This Row],[Interview_Date]]-Table1[[#This Row],[Application_Date]]</f>
        <v>6</v>
      </c>
      <c r="B686" t="str">
        <f>IF(OR(Table1[[#This Row],[Offer_Date]]="",Table1[[#This Row],[Interview_Date]]=""),"",Table1[[#This Row],[Offer_Date]]-Table1[[#This Row],[Interview_Date]])</f>
        <v/>
      </c>
    </row>
    <row r="687" spans="1:2" x14ac:dyDescent="0.3">
      <c r="A687">
        <f>Table1[[#This Row],[Interview_Date]]-Table1[[#This Row],[Application_Date]]</f>
        <v>11</v>
      </c>
      <c r="B687">
        <f>IF(OR(Table1[[#This Row],[Offer_Date]]="",Table1[[#This Row],[Interview_Date]]=""),"",Table1[[#This Row],[Offer_Date]]-Table1[[#This Row],[Interview_Date]])</f>
        <v>6</v>
      </c>
    </row>
    <row r="688" spans="1:2" x14ac:dyDescent="0.3">
      <c r="A688">
        <f>Table1[[#This Row],[Interview_Date]]-Table1[[#This Row],[Application_Date]]</f>
        <v>9</v>
      </c>
      <c r="B688" t="str">
        <f>IF(OR(Table1[[#This Row],[Offer_Date]]="",Table1[[#This Row],[Interview_Date]]=""),"",Table1[[#This Row],[Offer_Date]]-Table1[[#This Row],[Interview_Date]])</f>
        <v/>
      </c>
    </row>
    <row r="689" spans="1:2" x14ac:dyDescent="0.3">
      <c r="A689">
        <f>Table1[[#This Row],[Interview_Date]]-Table1[[#This Row],[Application_Date]]</f>
        <v>10</v>
      </c>
      <c r="B689" t="str">
        <f>IF(OR(Table1[[#This Row],[Offer_Date]]="",Table1[[#This Row],[Interview_Date]]=""),"",Table1[[#This Row],[Offer_Date]]-Table1[[#This Row],[Interview_Date]])</f>
        <v/>
      </c>
    </row>
    <row r="690" spans="1:2" x14ac:dyDescent="0.3">
      <c r="A690">
        <f>Table1[[#This Row],[Interview_Date]]-Table1[[#This Row],[Application_Date]]</f>
        <v>8</v>
      </c>
      <c r="B690" t="str">
        <f>IF(OR(Table1[[#This Row],[Offer_Date]]="",Table1[[#This Row],[Interview_Date]]=""),"",Table1[[#This Row],[Offer_Date]]-Table1[[#This Row],[Interview_Date]])</f>
        <v/>
      </c>
    </row>
    <row r="691" spans="1:2" x14ac:dyDescent="0.3">
      <c r="A691">
        <f>Table1[[#This Row],[Interview_Date]]-Table1[[#This Row],[Application_Date]]</f>
        <v>13</v>
      </c>
      <c r="B691">
        <f>IF(OR(Table1[[#This Row],[Offer_Date]]="",Table1[[#This Row],[Interview_Date]]=""),"",Table1[[#This Row],[Offer_Date]]-Table1[[#This Row],[Interview_Date]])</f>
        <v>5</v>
      </c>
    </row>
    <row r="692" spans="1:2" x14ac:dyDescent="0.3">
      <c r="A692">
        <f>Table1[[#This Row],[Interview_Date]]-Table1[[#This Row],[Application_Date]]</f>
        <v>4</v>
      </c>
      <c r="B692" t="str">
        <f>IF(OR(Table1[[#This Row],[Offer_Date]]="",Table1[[#This Row],[Interview_Date]]=""),"",Table1[[#This Row],[Offer_Date]]-Table1[[#This Row],[Interview_Date]])</f>
        <v/>
      </c>
    </row>
    <row r="693" spans="1:2" x14ac:dyDescent="0.3">
      <c r="A693">
        <f>Table1[[#This Row],[Interview_Date]]-Table1[[#This Row],[Application_Date]]</f>
        <v>3</v>
      </c>
      <c r="B693">
        <f>IF(OR(Table1[[#This Row],[Offer_Date]]="",Table1[[#This Row],[Interview_Date]]=""),"",Table1[[#This Row],[Offer_Date]]-Table1[[#This Row],[Interview_Date]])</f>
        <v>6</v>
      </c>
    </row>
    <row r="694" spans="1:2" x14ac:dyDescent="0.3">
      <c r="A694">
        <f>Table1[[#This Row],[Interview_Date]]-Table1[[#This Row],[Application_Date]]</f>
        <v>4</v>
      </c>
      <c r="B694" t="str">
        <f>IF(OR(Table1[[#This Row],[Offer_Date]]="",Table1[[#This Row],[Interview_Date]]=""),"",Table1[[#This Row],[Offer_Date]]-Table1[[#This Row],[Interview_Date]])</f>
        <v/>
      </c>
    </row>
    <row r="695" spans="1:2" x14ac:dyDescent="0.3">
      <c r="A695">
        <f>Table1[[#This Row],[Interview_Date]]-Table1[[#This Row],[Application_Date]]</f>
        <v>8</v>
      </c>
      <c r="B695">
        <f>IF(OR(Table1[[#This Row],[Offer_Date]]="",Table1[[#This Row],[Interview_Date]]=""),"",Table1[[#This Row],[Offer_Date]]-Table1[[#This Row],[Interview_Date]])</f>
        <v>7</v>
      </c>
    </row>
    <row r="696" spans="1:2" x14ac:dyDescent="0.3">
      <c r="A696">
        <f>Table1[[#This Row],[Interview_Date]]-Table1[[#This Row],[Application_Date]]</f>
        <v>5</v>
      </c>
      <c r="B696" t="str">
        <f>IF(OR(Table1[[#This Row],[Offer_Date]]="",Table1[[#This Row],[Interview_Date]]=""),"",Table1[[#This Row],[Offer_Date]]-Table1[[#This Row],[Interview_Date]])</f>
        <v/>
      </c>
    </row>
    <row r="697" spans="1:2" x14ac:dyDescent="0.3">
      <c r="A697">
        <f>Table1[[#This Row],[Interview_Date]]-Table1[[#This Row],[Application_Date]]</f>
        <v>9</v>
      </c>
      <c r="B697" t="str">
        <f>IF(OR(Table1[[#This Row],[Offer_Date]]="",Table1[[#This Row],[Interview_Date]]=""),"",Table1[[#This Row],[Offer_Date]]-Table1[[#This Row],[Interview_Date]])</f>
        <v/>
      </c>
    </row>
    <row r="698" spans="1:2" x14ac:dyDescent="0.3">
      <c r="A698">
        <f>Table1[[#This Row],[Interview_Date]]-Table1[[#This Row],[Application_Date]]</f>
        <v>5</v>
      </c>
      <c r="B698" t="str">
        <f>IF(OR(Table1[[#This Row],[Offer_Date]]="",Table1[[#This Row],[Interview_Date]]=""),"",Table1[[#This Row],[Offer_Date]]-Table1[[#This Row],[Interview_Date]])</f>
        <v/>
      </c>
    </row>
    <row r="699" spans="1:2" x14ac:dyDescent="0.3">
      <c r="A699">
        <f>Table1[[#This Row],[Interview_Date]]-Table1[[#This Row],[Application_Date]]</f>
        <v>3</v>
      </c>
      <c r="B699">
        <f>IF(OR(Table1[[#This Row],[Offer_Date]]="",Table1[[#This Row],[Interview_Date]]=""),"",Table1[[#This Row],[Offer_Date]]-Table1[[#This Row],[Interview_Date]])</f>
        <v>3</v>
      </c>
    </row>
    <row r="700" spans="1:2" x14ac:dyDescent="0.3">
      <c r="A700">
        <f>Table1[[#This Row],[Interview_Date]]-Table1[[#This Row],[Application_Date]]</f>
        <v>3</v>
      </c>
      <c r="B700">
        <f>IF(OR(Table1[[#This Row],[Offer_Date]]="",Table1[[#This Row],[Interview_Date]]=""),"",Table1[[#This Row],[Offer_Date]]-Table1[[#This Row],[Interview_Date]])</f>
        <v>2</v>
      </c>
    </row>
    <row r="701" spans="1:2" x14ac:dyDescent="0.3">
      <c r="A701">
        <f>Table1[[#This Row],[Interview_Date]]-Table1[[#This Row],[Application_Date]]</f>
        <v>10</v>
      </c>
      <c r="B701">
        <f>IF(OR(Table1[[#This Row],[Offer_Date]]="",Table1[[#This Row],[Interview_Date]]=""),"",Table1[[#This Row],[Offer_Date]]-Table1[[#This Row],[Interview_Date]])</f>
        <v>4</v>
      </c>
    </row>
    <row r="702" spans="1:2" x14ac:dyDescent="0.3">
      <c r="A702">
        <f>Table1[[#This Row],[Interview_Date]]-Table1[[#This Row],[Application_Date]]</f>
        <v>11</v>
      </c>
      <c r="B702">
        <f>IF(OR(Table1[[#This Row],[Offer_Date]]="",Table1[[#This Row],[Interview_Date]]=""),"",Table1[[#This Row],[Offer_Date]]-Table1[[#This Row],[Interview_Date]])</f>
        <v>5</v>
      </c>
    </row>
    <row r="703" spans="1:2" x14ac:dyDescent="0.3">
      <c r="A703">
        <f>Table1[[#This Row],[Interview_Date]]-Table1[[#This Row],[Application_Date]]</f>
        <v>11</v>
      </c>
      <c r="B703">
        <f>IF(OR(Table1[[#This Row],[Offer_Date]]="",Table1[[#This Row],[Interview_Date]]=""),"",Table1[[#This Row],[Offer_Date]]-Table1[[#This Row],[Interview_Date]])</f>
        <v>4</v>
      </c>
    </row>
    <row r="704" spans="1:2" x14ac:dyDescent="0.3">
      <c r="A704">
        <f>Table1[[#This Row],[Interview_Date]]-Table1[[#This Row],[Application_Date]]</f>
        <v>3</v>
      </c>
      <c r="B704">
        <f>IF(OR(Table1[[#This Row],[Offer_Date]]="",Table1[[#This Row],[Interview_Date]]=""),"",Table1[[#This Row],[Offer_Date]]-Table1[[#This Row],[Interview_Date]])</f>
        <v>2</v>
      </c>
    </row>
    <row r="705" spans="1:2" x14ac:dyDescent="0.3">
      <c r="A705">
        <f>Table1[[#This Row],[Interview_Date]]-Table1[[#This Row],[Application_Date]]</f>
        <v>13</v>
      </c>
      <c r="B705" t="str">
        <f>IF(OR(Table1[[#This Row],[Offer_Date]]="",Table1[[#This Row],[Interview_Date]]=""),"",Table1[[#This Row],[Offer_Date]]-Table1[[#This Row],[Interview_Date]])</f>
        <v/>
      </c>
    </row>
    <row r="706" spans="1:2" x14ac:dyDescent="0.3">
      <c r="A706">
        <f>Table1[[#This Row],[Interview_Date]]-Table1[[#This Row],[Application_Date]]</f>
        <v>11</v>
      </c>
      <c r="B706" t="str">
        <f>IF(OR(Table1[[#This Row],[Offer_Date]]="",Table1[[#This Row],[Interview_Date]]=""),"",Table1[[#This Row],[Offer_Date]]-Table1[[#This Row],[Interview_Date]])</f>
        <v/>
      </c>
    </row>
    <row r="707" spans="1:2" x14ac:dyDescent="0.3">
      <c r="A707">
        <f>Table1[[#This Row],[Interview_Date]]-Table1[[#This Row],[Application_Date]]</f>
        <v>4</v>
      </c>
      <c r="B707" t="str">
        <f>IF(OR(Table1[[#This Row],[Offer_Date]]="",Table1[[#This Row],[Interview_Date]]=""),"",Table1[[#This Row],[Offer_Date]]-Table1[[#This Row],[Interview_Date]])</f>
        <v/>
      </c>
    </row>
    <row r="708" spans="1:2" x14ac:dyDescent="0.3">
      <c r="A708">
        <f>Table1[[#This Row],[Interview_Date]]-Table1[[#This Row],[Application_Date]]</f>
        <v>9</v>
      </c>
      <c r="B708" t="str">
        <f>IF(OR(Table1[[#This Row],[Offer_Date]]="",Table1[[#This Row],[Interview_Date]]=""),"",Table1[[#This Row],[Offer_Date]]-Table1[[#This Row],[Interview_Date]])</f>
        <v/>
      </c>
    </row>
    <row r="709" spans="1:2" x14ac:dyDescent="0.3">
      <c r="A709">
        <f>Table1[[#This Row],[Interview_Date]]-Table1[[#This Row],[Application_Date]]</f>
        <v>14</v>
      </c>
      <c r="B709" t="str">
        <f>IF(OR(Table1[[#This Row],[Offer_Date]]="",Table1[[#This Row],[Interview_Date]]=""),"",Table1[[#This Row],[Offer_Date]]-Table1[[#This Row],[Interview_Date]])</f>
        <v/>
      </c>
    </row>
    <row r="710" spans="1:2" x14ac:dyDescent="0.3">
      <c r="A710">
        <f>Table1[[#This Row],[Interview_Date]]-Table1[[#This Row],[Application_Date]]</f>
        <v>8</v>
      </c>
      <c r="B710">
        <f>IF(OR(Table1[[#This Row],[Offer_Date]]="",Table1[[#This Row],[Interview_Date]]=""),"",Table1[[#This Row],[Offer_Date]]-Table1[[#This Row],[Interview_Date]])</f>
        <v>2</v>
      </c>
    </row>
    <row r="711" spans="1:2" x14ac:dyDescent="0.3">
      <c r="A711">
        <f>Table1[[#This Row],[Interview_Date]]-Table1[[#This Row],[Application_Date]]</f>
        <v>14</v>
      </c>
      <c r="B711" t="str">
        <f>IF(OR(Table1[[#This Row],[Offer_Date]]="",Table1[[#This Row],[Interview_Date]]=""),"",Table1[[#This Row],[Offer_Date]]-Table1[[#This Row],[Interview_Date]])</f>
        <v/>
      </c>
    </row>
    <row r="712" spans="1:2" x14ac:dyDescent="0.3">
      <c r="A712">
        <f>Table1[[#This Row],[Interview_Date]]-Table1[[#This Row],[Application_Date]]</f>
        <v>3</v>
      </c>
      <c r="B712">
        <f>IF(OR(Table1[[#This Row],[Offer_Date]]="",Table1[[#This Row],[Interview_Date]]=""),"",Table1[[#This Row],[Offer_Date]]-Table1[[#This Row],[Interview_Date]])</f>
        <v>2</v>
      </c>
    </row>
    <row r="713" spans="1:2" x14ac:dyDescent="0.3">
      <c r="A713">
        <f>Table1[[#This Row],[Interview_Date]]-Table1[[#This Row],[Application_Date]]</f>
        <v>8</v>
      </c>
      <c r="B713" t="str">
        <f>IF(OR(Table1[[#This Row],[Offer_Date]]="",Table1[[#This Row],[Interview_Date]]=""),"",Table1[[#This Row],[Offer_Date]]-Table1[[#This Row],[Interview_Date]])</f>
        <v/>
      </c>
    </row>
    <row r="714" spans="1:2" x14ac:dyDescent="0.3">
      <c r="A714">
        <f>Table1[[#This Row],[Interview_Date]]-Table1[[#This Row],[Application_Date]]</f>
        <v>13</v>
      </c>
      <c r="B714" t="str">
        <f>IF(OR(Table1[[#This Row],[Offer_Date]]="",Table1[[#This Row],[Interview_Date]]=""),"",Table1[[#This Row],[Offer_Date]]-Table1[[#This Row],[Interview_Date]])</f>
        <v/>
      </c>
    </row>
    <row r="715" spans="1:2" x14ac:dyDescent="0.3">
      <c r="A715">
        <f>Table1[[#This Row],[Interview_Date]]-Table1[[#This Row],[Application_Date]]</f>
        <v>5</v>
      </c>
      <c r="B715" t="str">
        <f>IF(OR(Table1[[#This Row],[Offer_Date]]="",Table1[[#This Row],[Interview_Date]]=""),"",Table1[[#This Row],[Offer_Date]]-Table1[[#This Row],[Interview_Date]])</f>
        <v/>
      </c>
    </row>
    <row r="716" spans="1:2" x14ac:dyDescent="0.3">
      <c r="A716">
        <f>Table1[[#This Row],[Interview_Date]]-Table1[[#This Row],[Application_Date]]</f>
        <v>9</v>
      </c>
      <c r="B716">
        <f>IF(OR(Table1[[#This Row],[Offer_Date]]="",Table1[[#This Row],[Interview_Date]]=""),"",Table1[[#This Row],[Offer_Date]]-Table1[[#This Row],[Interview_Date]])</f>
        <v>4</v>
      </c>
    </row>
    <row r="717" spans="1:2" x14ac:dyDescent="0.3">
      <c r="A717">
        <f>Table1[[#This Row],[Interview_Date]]-Table1[[#This Row],[Application_Date]]</f>
        <v>15</v>
      </c>
      <c r="B717">
        <f>IF(OR(Table1[[#This Row],[Offer_Date]]="",Table1[[#This Row],[Interview_Date]]=""),"",Table1[[#This Row],[Offer_Date]]-Table1[[#This Row],[Interview_Date]])</f>
        <v>2</v>
      </c>
    </row>
    <row r="718" spans="1:2" x14ac:dyDescent="0.3">
      <c r="A718">
        <f>Table1[[#This Row],[Interview_Date]]-Table1[[#This Row],[Application_Date]]</f>
        <v>4</v>
      </c>
      <c r="B718">
        <f>IF(OR(Table1[[#This Row],[Offer_Date]]="",Table1[[#This Row],[Interview_Date]]=""),"",Table1[[#This Row],[Offer_Date]]-Table1[[#This Row],[Interview_Date]])</f>
        <v>7</v>
      </c>
    </row>
    <row r="719" spans="1:2" x14ac:dyDescent="0.3">
      <c r="A719">
        <f>Table1[[#This Row],[Interview_Date]]-Table1[[#This Row],[Application_Date]]</f>
        <v>7</v>
      </c>
      <c r="B719">
        <f>IF(OR(Table1[[#This Row],[Offer_Date]]="",Table1[[#This Row],[Interview_Date]]=""),"",Table1[[#This Row],[Offer_Date]]-Table1[[#This Row],[Interview_Date]])</f>
        <v>4</v>
      </c>
    </row>
    <row r="720" spans="1:2" x14ac:dyDescent="0.3">
      <c r="A720">
        <f>Table1[[#This Row],[Interview_Date]]-Table1[[#This Row],[Application_Date]]</f>
        <v>9</v>
      </c>
      <c r="B720">
        <f>IF(OR(Table1[[#This Row],[Offer_Date]]="",Table1[[#This Row],[Interview_Date]]=""),"",Table1[[#This Row],[Offer_Date]]-Table1[[#This Row],[Interview_Date]])</f>
        <v>7</v>
      </c>
    </row>
    <row r="721" spans="1:2" x14ac:dyDescent="0.3">
      <c r="A721">
        <f>Table1[[#This Row],[Interview_Date]]-Table1[[#This Row],[Application_Date]]</f>
        <v>13</v>
      </c>
      <c r="B721">
        <f>IF(OR(Table1[[#This Row],[Offer_Date]]="",Table1[[#This Row],[Interview_Date]]=""),"",Table1[[#This Row],[Offer_Date]]-Table1[[#This Row],[Interview_Date]])</f>
        <v>7</v>
      </c>
    </row>
    <row r="722" spans="1:2" x14ac:dyDescent="0.3">
      <c r="A722">
        <f>Table1[[#This Row],[Interview_Date]]-Table1[[#This Row],[Application_Date]]</f>
        <v>9</v>
      </c>
      <c r="B722" t="str">
        <f>IF(OR(Table1[[#This Row],[Offer_Date]]="",Table1[[#This Row],[Interview_Date]]=""),"",Table1[[#This Row],[Offer_Date]]-Table1[[#This Row],[Interview_Date]])</f>
        <v/>
      </c>
    </row>
    <row r="723" spans="1:2" x14ac:dyDescent="0.3">
      <c r="A723">
        <f>Table1[[#This Row],[Interview_Date]]-Table1[[#This Row],[Application_Date]]</f>
        <v>10</v>
      </c>
      <c r="B723">
        <f>IF(OR(Table1[[#This Row],[Offer_Date]]="",Table1[[#This Row],[Interview_Date]]=""),"",Table1[[#This Row],[Offer_Date]]-Table1[[#This Row],[Interview_Date]])</f>
        <v>3</v>
      </c>
    </row>
    <row r="724" spans="1:2" x14ac:dyDescent="0.3">
      <c r="A724">
        <f>Table1[[#This Row],[Interview_Date]]-Table1[[#This Row],[Application_Date]]</f>
        <v>6</v>
      </c>
      <c r="B724">
        <f>IF(OR(Table1[[#This Row],[Offer_Date]]="",Table1[[#This Row],[Interview_Date]]=""),"",Table1[[#This Row],[Offer_Date]]-Table1[[#This Row],[Interview_Date]])</f>
        <v>7</v>
      </c>
    </row>
    <row r="725" spans="1:2" x14ac:dyDescent="0.3">
      <c r="A725">
        <f>Table1[[#This Row],[Interview_Date]]-Table1[[#This Row],[Application_Date]]</f>
        <v>12</v>
      </c>
      <c r="B725">
        <f>IF(OR(Table1[[#This Row],[Offer_Date]]="",Table1[[#This Row],[Interview_Date]]=""),"",Table1[[#This Row],[Offer_Date]]-Table1[[#This Row],[Interview_Date]])</f>
        <v>3</v>
      </c>
    </row>
    <row r="726" spans="1:2" x14ac:dyDescent="0.3">
      <c r="A726">
        <f>Table1[[#This Row],[Interview_Date]]-Table1[[#This Row],[Application_Date]]</f>
        <v>5</v>
      </c>
      <c r="B726">
        <f>IF(OR(Table1[[#This Row],[Offer_Date]]="",Table1[[#This Row],[Interview_Date]]=""),"",Table1[[#This Row],[Offer_Date]]-Table1[[#This Row],[Interview_Date]])</f>
        <v>5</v>
      </c>
    </row>
    <row r="727" spans="1:2" x14ac:dyDescent="0.3">
      <c r="A727">
        <f>Table1[[#This Row],[Interview_Date]]-Table1[[#This Row],[Application_Date]]</f>
        <v>4</v>
      </c>
      <c r="B727" t="str">
        <f>IF(OR(Table1[[#This Row],[Offer_Date]]="",Table1[[#This Row],[Interview_Date]]=""),"",Table1[[#This Row],[Offer_Date]]-Table1[[#This Row],[Interview_Date]])</f>
        <v/>
      </c>
    </row>
    <row r="728" spans="1:2" x14ac:dyDescent="0.3">
      <c r="A728">
        <f>Table1[[#This Row],[Interview_Date]]-Table1[[#This Row],[Application_Date]]</f>
        <v>10</v>
      </c>
      <c r="B728">
        <f>IF(OR(Table1[[#This Row],[Offer_Date]]="",Table1[[#This Row],[Interview_Date]]=""),"",Table1[[#This Row],[Offer_Date]]-Table1[[#This Row],[Interview_Date]])</f>
        <v>5</v>
      </c>
    </row>
    <row r="729" spans="1:2" x14ac:dyDescent="0.3">
      <c r="A729">
        <f>Table1[[#This Row],[Interview_Date]]-Table1[[#This Row],[Application_Date]]</f>
        <v>9</v>
      </c>
      <c r="B729">
        <f>IF(OR(Table1[[#This Row],[Offer_Date]]="",Table1[[#This Row],[Interview_Date]]=""),"",Table1[[#This Row],[Offer_Date]]-Table1[[#This Row],[Interview_Date]])</f>
        <v>4</v>
      </c>
    </row>
    <row r="730" spans="1:2" x14ac:dyDescent="0.3">
      <c r="A730">
        <f>Table1[[#This Row],[Interview_Date]]-Table1[[#This Row],[Application_Date]]</f>
        <v>12</v>
      </c>
      <c r="B730" t="str">
        <f>IF(OR(Table1[[#This Row],[Offer_Date]]="",Table1[[#This Row],[Interview_Date]]=""),"",Table1[[#This Row],[Offer_Date]]-Table1[[#This Row],[Interview_Date]])</f>
        <v/>
      </c>
    </row>
    <row r="731" spans="1:2" x14ac:dyDescent="0.3">
      <c r="A731">
        <f>Table1[[#This Row],[Interview_Date]]-Table1[[#This Row],[Application_Date]]</f>
        <v>14</v>
      </c>
      <c r="B731" t="str">
        <f>IF(OR(Table1[[#This Row],[Offer_Date]]="",Table1[[#This Row],[Interview_Date]]=""),"",Table1[[#This Row],[Offer_Date]]-Table1[[#This Row],[Interview_Date]])</f>
        <v/>
      </c>
    </row>
    <row r="732" spans="1:2" x14ac:dyDescent="0.3">
      <c r="A732">
        <f>Table1[[#This Row],[Interview_Date]]-Table1[[#This Row],[Application_Date]]</f>
        <v>4</v>
      </c>
      <c r="B732">
        <f>IF(OR(Table1[[#This Row],[Offer_Date]]="",Table1[[#This Row],[Interview_Date]]=""),"",Table1[[#This Row],[Offer_Date]]-Table1[[#This Row],[Interview_Date]])</f>
        <v>3</v>
      </c>
    </row>
    <row r="733" spans="1:2" x14ac:dyDescent="0.3">
      <c r="A733">
        <f>Table1[[#This Row],[Interview_Date]]-Table1[[#This Row],[Application_Date]]</f>
        <v>10</v>
      </c>
      <c r="B733" t="str">
        <f>IF(OR(Table1[[#This Row],[Offer_Date]]="",Table1[[#This Row],[Interview_Date]]=""),"",Table1[[#This Row],[Offer_Date]]-Table1[[#This Row],[Interview_Date]])</f>
        <v/>
      </c>
    </row>
    <row r="734" spans="1:2" x14ac:dyDescent="0.3">
      <c r="A734">
        <f>Table1[[#This Row],[Interview_Date]]-Table1[[#This Row],[Application_Date]]</f>
        <v>14</v>
      </c>
      <c r="B734" t="str">
        <f>IF(OR(Table1[[#This Row],[Offer_Date]]="",Table1[[#This Row],[Interview_Date]]=""),"",Table1[[#This Row],[Offer_Date]]-Table1[[#This Row],[Interview_Date]])</f>
        <v/>
      </c>
    </row>
    <row r="735" spans="1:2" x14ac:dyDescent="0.3">
      <c r="A735">
        <f>Table1[[#This Row],[Interview_Date]]-Table1[[#This Row],[Application_Date]]</f>
        <v>14</v>
      </c>
      <c r="B735">
        <f>IF(OR(Table1[[#This Row],[Offer_Date]]="",Table1[[#This Row],[Interview_Date]]=""),"",Table1[[#This Row],[Offer_Date]]-Table1[[#This Row],[Interview_Date]])</f>
        <v>5</v>
      </c>
    </row>
    <row r="736" spans="1:2" x14ac:dyDescent="0.3">
      <c r="A736">
        <f>Table1[[#This Row],[Interview_Date]]-Table1[[#This Row],[Application_Date]]</f>
        <v>7</v>
      </c>
      <c r="B736" t="str">
        <f>IF(OR(Table1[[#This Row],[Offer_Date]]="",Table1[[#This Row],[Interview_Date]]=""),"",Table1[[#This Row],[Offer_Date]]-Table1[[#This Row],[Interview_Date]])</f>
        <v/>
      </c>
    </row>
    <row r="737" spans="1:2" x14ac:dyDescent="0.3">
      <c r="A737">
        <f>Table1[[#This Row],[Interview_Date]]-Table1[[#This Row],[Application_Date]]</f>
        <v>15</v>
      </c>
      <c r="B737" t="str">
        <f>IF(OR(Table1[[#This Row],[Offer_Date]]="",Table1[[#This Row],[Interview_Date]]=""),"",Table1[[#This Row],[Offer_Date]]-Table1[[#This Row],[Interview_Date]])</f>
        <v/>
      </c>
    </row>
    <row r="738" spans="1:2" x14ac:dyDescent="0.3">
      <c r="A738">
        <f>Table1[[#This Row],[Interview_Date]]-Table1[[#This Row],[Application_Date]]</f>
        <v>8</v>
      </c>
      <c r="B738">
        <f>IF(OR(Table1[[#This Row],[Offer_Date]]="",Table1[[#This Row],[Interview_Date]]=""),"",Table1[[#This Row],[Offer_Date]]-Table1[[#This Row],[Interview_Date]])</f>
        <v>3</v>
      </c>
    </row>
    <row r="739" spans="1:2" x14ac:dyDescent="0.3">
      <c r="A739">
        <f>Table1[[#This Row],[Interview_Date]]-Table1[[#This Row],[Application_Date]]</f>
        <v>8</v>
      </c>
      <c r="B739">
        <f>IF(OR(Table1[[#This Row],[Offer_Date]]="",Table1[[#This Row],[Interview_Date]]=""),"",Table1[[#This Row],[Offer_Date]]-Table1[[#This Row],[Interview_Date]])</f>
        <v>4</v>
      </c>
    </row>
    <row r="740" spans="1:2" x14ac:dyDescent="0.3">
      <c r="A740">
        <f>Table1[[#This Row],[Interview_Date]]-Table1[[#This Row],[Application_Date]]</f>
        <v>15</v>
      </c>
      <c r="B740">
        <f>IF(OR(Table1[[#This Row],[Offer_Date]]="",Table1[[#This Row],[Interview_Date]]=""),"",Table1[[#This Row],[Offer_Date]]-Table1[[#This Row],[Interview_Date]])</f>
        <v>3</v>
      </c>
    </row>
    <row r="741" spans="1:2" x14ac:dyDescent="0.3">
      <c r="A741">
        <f>Table1[[#This Row],[Interview_Date]]-Table1[[#This Row],[Application_Date]]</f>
        <v>7</v>
      </c>
      <c r="B741" t="str">
        <f>IF(OR(Table1[[#This Row],[Offer_Date]]="",Table1[[#This Row],[Interview_Date]]=""),"",Table1[[#This Row],[Offer_Date]]-Table1[[#This Row],[Interview_Date]])</f>
        <v/>
      </c>
    </row>
    <row r="742" spans="1:2" x14ac:dyDescent="0.3">
      <c r="A742">
        <f>Table1[[#This Row],[Interview_Date]]-Table1[[#This Row],[Application_Date]]</f>
        <v>13</v>
      </c>
      <c r="B742" t="str">
        <f>IF(OR(Table1[[#This Row],[Offer_Date]]="",Table1[[#This Row],[Interview_Date]]=""),"",Table1[[#This Row],[Offer_Date]]-Table1[[#This Row],[Interview_Date]])</f>
        <v/>
      </c>
    </row>
    <row r="743" spans="1:2" x14ac:dyDescent="0.3">
      <c r="A743">
        <f>Table1[[#This Row],[Interview_Date]]-Table1[[#This Row],[Application_Date]]</f>
        <v>15</v>
      </c>
      <c r="B743">
        <f>IF(OR(Table1[[#This Row],[Offer_Date]]="",Table1[[#This Row],[Interview_Date]]=""),"",Table1[[#This Row],[Offer_Date]]-Table1[[#This Row],[Interview_Date]])</f>
        <v>7</v>
      </c>
    </row>
    <row r="744" spans="1:2" x14ac:dyDescent="0.3">
      <c r="A744">
        <f>Table1[[#This Row],[Interview_Date]]-Table1[[#This Row],[Application_Date]]</f>
        <v>11</v>
      </c>
      <c r="B744">
        <f>IF(OR(Table1[[#This Row],[Offer_Date]]="",Table1[[#This Row],[Interview_Date]]=""),"",Table1[[#This Row],[Offer_Date]]-Table1[[#This Row],[Interview_Date]])</f>
        <v>5</v>
      </c>
    </row>
    <row r="745" spans="1:2" x14ac:dyDescent="0.3">
      <c r="A745">
        <f>Table1[[#This Row],[Interview_Date]]-Table1[[#This Row],[Application_Date]]</f>
        <v>7</v>
      </c>
      <c r="B745">
        <f>IF(OR(Table1[[#This Row],[Offer_Date]]="",Table1[[#This Row],[Interview_Date]]=""),"",Table1[[#This Row],[Offer_Date]]-Table1[[#This Row],[Interview_Date]])</f>
        <v>3</v>
      </c>
    </row>
    <row r="746" spans="1:2" x14ac:dyDescent="0.3">
      <c r="A746">
        <f>Table1[[#This Row],[Interview_Date]]-Table1[[#This Row],[Application_Date]]</f>
        <v>4</v>
      </c>
      <c r="B746" t="str">
        <f>IF(OR(Table1[[#This Row],[Offer_Date]]="",Table1[[#This Row],[Interview_Date]]=""),"",Table1[[#This Row],[Offer_Date]]-Table1[[#This Row],[Interview_Date]])</f>
        <v/>
      </c>
    </row>
    <row r="747" spans="1:2" x14ac:dyDescent="0.3">
      <c r="A747">
        <f>Table1[[#This Row],[Interview_Date]]-Table1[[#This Row],[Application_Date]]</f>
        <v>15</v>
      </c>
      <c r="B747">
        <f>IF(OR(Table1[[#This Row],[Offer_Date]]="",Table1[[#This Row],[Interview_Date]]=""),"",Table1[[#This Row],[Offer_Date]]-Table1[[#This Row],[Interview_Date]])</f>
        <v>5</v>
      </c>
    </row>
    <row r="748" spans="1:2" x14ac:dyDescent="0.3">
      <c r="A748">
        <f>Table1[[#This Row],[Interview_Date]]-Table1[[#This Row],[Application_Date]]</f>
        <v>12</v>
      </c>
      <c r="B748">
        <f>IF(OR(Table1[[#This Row],[Offer_Date]]="",Table1[[#This Row],[Interview_Date]]=""),"",Table1[[#This Row],[Offer_Date]]-Table1[[#This Row],[Interview_Date]])</f>
        <v>5</v>
      </c>
    </row>
    <row r="749" spans="1:2" x14ac:dyDescent="0.3">
      <c r="A749">
        <f>Table1[[#This Row],[Interview_Date]]-Table1[[#This Row],[Application_Date]]</f>
        <v>12</v>
      </c>
      <c r="B749">
        <f>IF(OR(Table1[[#This Row],[Offer_Date]]="",Table1[[#This Row],[Interview_Date]]=""),"",Table1[[#This Row],[Offer_Date]]-Table1[[#This Row],[Interview_Date]])</f>
        <v>2</v>
      </c>
    </row>
    <row r="750" spans="1:2" x14ac:dyDescent="0.3">
      <c r="A750">
        <f>Table1[[#This Row],[Interview_Date]]-Table1[[#This Row],[Application_Date]]</f>
        <v>6</v>
      </c>
      <c r="B750" t="str">
        <f>IF(OR(Table1[[#This Row],[Offer_Date]]="",Table1[[#This Row],[Interview_Date]]=""),"",Table1[[#This Row],[Offer_Date]]-Table1[[#This Row],[Interview_Date]])</f>
        <v/>
      </c>
    </row>
    <row r="751" spans="1:2" x14ac:dyDescent="0.3">
      <c r="A751">
        <f>Table1[[#This Row],[Interview_Date]]-Table1[[#This Row],[Application_Date]]</f>
        <v>11</v>
      </c>
      <c r="B751" t="str">
        <f>IF(OR(Table1[[#This Row],[Offer_Date]]="",Table1[[#This Row],[Interview_Date]]=""),"",Table1[[#This Row],[Offer_Date]]-Table1[[#This Row],[Interview_Date]])</f>
        <v/>
      </c>
    </row>
    <row r="752" spans="1:2" x14ac:dyDescent="0.3">
      <c r="A752">
        <f>Table1[[#This Row],[Interview_Date]]-Table1[[#This Row],[Application_Date]]</f>
        <v>4</v>
      </c>
      <c r="B752" t="str">
        <f>IF(OR(Table1[[#This Row],[Offer_Date]]="",Table1[[#This Row],[Interview_Date]]=""),"",Table1[[#This Row],[Offer_Date]]-Table1[[#This Row],[Interview_Date]])</f>
        <v/>
      </c>
    </row>
    <row r="753" spans="1:2" x14ac:dyDescent="0.3">
      <c r="A753">
        <f>Table1[[#This Row],[Interview_Date]]-Table1[[#This Row],[Application_Date]]</f>
        <v>3</v>
      </c>
      <c r="B753">
        <f>IF(OR(Table1[[#This Row],[Offer_Date]]="",Table1[[#This Row],[Interview_Date]]=""),"",Table1[[#This Row],[Offer_Date]]-Table1[[#This Row],[Interview_Date]])</f>
        <v>4</v>
      </c>
    </row>
    <row r="754" spans="1:2" x14ac:dyDescent="0.3">
      <c r="A754">
        <f>Table1[[#This Row],[Interview_Date]]-Table1[[#This Row],[Application_Date]]</f>
        <v>3</v>
      </c>
      <c r="B754">
        <f>IF(OR(Table1[[#This Row],[Offer_Date]]="",Table1[[#This Row],[Interview_Date]]=""),"",Table1[[#This Row],[Offer_Date]]-Table1[[#This Row],[Interview_Date]])</f>
        <v>6</v>
      </c>
    </row>
    <row r="755" spans="1:2" x14ac:dyDescent="0.3">
      <c r="A755">
        <f>Table1[[#This Row],[Interview_Date]]-Table1[[#This Row],[Application_Date]]</f>
        <v>5</v>
      </c>
      <c r="B755">
        <f>IF(OR(Table1[[#This Row],[Offer_Date]]="",Table1[[#This Row],[Interview_Date]]=""),"",Table1[[#This Row],[Offer_Date]]-Table1[[#This Row],[Interview_Date]])</f>
        <v>4</v>
      </c>
    </row>
    <row r="756" spans="1:2" x14ac:dyDescent="0.3">
      <c r="A756">
        <f>Table1[[#This Row],[Interview_Date]]-Table1[[#This Row],[Application_Date]]</f>
        <v>12</v>
      </c>
      <c r="B756" t="str">
        <f>IF(OR(Table1[[#This Row],[Offer_Date]]="",Table1[[#This Row],[Interview_Date]]=""),"",Table1[[#This Row],[Offer_Date]]-Table1[[#This Row],[Interview_Date]])</f>
        <v/>
      </c>
    </row>
    <row r="757" spans="1:2" x14ac:dyDescent="0.3">
      <c r="A757">
        <f>Table1[[#This Row],[Interview_Date]]-Table1[[#This Row],[Application_Date]]</f>
        <v>7</v>
      </c>
      <c r="B757">
        <f>IF(OR(Table1[[#This Row],[Offer_Date]]="",Table1[[#This Row],[Interview_Date]]=""),"",Table1[[#This Row],[Offer_Date]]-Table1[[#This Row],[Interview_Date]])</f>
        <v>3</v>
      </c>
    </row>
    <row r="758" spans="1:2" x14ac:dyDescent="0.3">
      <c r="A758">
        <f>Table1[[#This Row],[Interview_Date]]-Table1[[#This Row],[Application_Date]]</f>
        <v>3</v>
      </c>
      <c r="B758">
        <f>IF(OR(Table1[[#This Row],[Offer_Date]]="",Table1[[#This Row],[Interview_Date]]=""),"",Table1[[#This Row],[Offer_Date]]-Table1[[#This Row],[Interview_Date]])</f>
        <v>5</v>
      </c>
    </row>
    <row r="759" spans="1:2" x14ac:dyDescent="0.3">
      <c r="A759">
        <f>Table1[[#This Row],[Interview_Date]]-Table1[[#This Row],[Application_Date]]</f>
        <v>15</v>
      </c>
      <c r="B759">
        <f>IF(OR(Table1[[#This Row],[Offer_Date]]="",Table1[[#This Row],[Interview_Date]]=""),"",Table1[[#This Row],[Offer_Date]]-Table1[[#This Row],[Interview_Date]])</f>
        <v>3</v>
      </c>
    </row>
    <row r="760" spans="1:2" x14ac:dyDescent="0.3">
      <c r="A760">
        <f>Table1[[#This Row],[Interview_Date]]-Table1[[#This Row],[Application_Date]]</f>
        <v>11</v>
      </c>
      <c r="B760" t="str">
        <f>IF(OR(Table1[[#This Row],[Offer_Date]]="",Table1[[#This Row],[Interview_Date]]=""),"",Table1[[#This Row],[Offer_Date]]-Table1[[#This Row],[Interview_Date]])</f>
        <v/>
      </c>
    </row>
    <row r="761" spans="1:2" x14ac:dyDescent="0.3">
      <c r="A761">
        <f>Table1[[#This Row],[Interview_Date]]-Table1[[#This Row],[Application_Date]]</f>
        <v>11</v>
      </c>
      <c r="B761">
        <f>IF(OR(Table1[[#This Row],[Offer_Date]]="",Table1[[#This Row],[Interview_Date]]=""),"",Table1[[#This Row],[Offer_Date]]-Table1[[#This Row],[Interview_Date]])</f>
        <v>5</v>
      </c>
    </row>
    <row r="762" spans="1:2" x14ac:dyDescent="0.3">
      <c r="A762">
        <f>Table1[[#This Row],[Interview_Date]]-Table1[[#This Row],[Application_Date]]</f>
        <v>10</v>
      </c>
      <c r="B762" t="str">
        <f>IF(OR(Table1[[#This Row],[Offer_Date]]="",Table1[[#This Row],[Interview_Date]]=""),"",Table1[[#This Row],[Offer_Date]]-Table1[[#This Row],[Interview_Date]])</f>
        <v/>
      </c>
    </row>
    <row r="763" spans="1:2" x14ac:dyDescent="0.3">
      <c r="A763">
        <f>Table1[[#This Row],[Interview_Date]]-Table1[[#This Row],[Application_Date]]</f>
        <v>9</v>
      </c>
      <c r="B763">
        <f>IF(OR(Table1[[#This Row],[Offer_Date]]="",Table1[[#This Row],[Interview_Date]]=""),"",Table1[[#This Row],[Offer_Date]]-Table1[[#This Row],[Interview_Date]])</f>
        <v>5</v>
      </c>
    </row>
    <row r="764" spans="1:2" x14ac:dyDescent="0.3">
      <c r="A764">
        <f>Table1[[#This Row],[Interview_Date]]-Table1[[#This Row],[Application_Date]]</f>
        <v>9</v>
      </c>
      <c r="B764">
        <f>IF(OR(Table1[[#This Row],[Offer_Date]]="",Table1[[#This Row],[Interview_Date]]=""),"",Table1[[#This Row],[Offer_Date]]-Table1[[#This Row],[Interview_Date]])</f>
        <v>7</v>
      </c>
    </row>
    <row r="765" spans="1:2" x14ac:dyDescent="0.3">
      <c r="A765">
        <f>Table1[[#This Row],[Interview_Date]]-Table1[[#This Row],[Application_Date]]</f>
        <v>13</v>
      </c>
      <c r="B765" t="str">
        <f>IF(OR(Table1[[#This Row],[Offer_Date]]="",Table1[[#This Row],[Interview_Date]]=""),"",Table1[[#This Row],[Offer_Date]]-Table1[[#This Row],[Interview_Date]])</f>
        <v/>
      </c>
    </row>
    <row r="766" spans="1:2" x14ac:dyDescent="0.3">
      <c r="A766">
        <f>Table1[[#This Row],[Interview_Date]]-Table1[[#This Row],[Application_Date]]</f>
        <v>10</v>
      </c>
      <c r="B766">
        <f>IF(OR(Table1[[#This Row],[Offer_Date]]="",Table1[[#This Row],[Interview_Date]]=""),"",Table1[[#This Row],[Offer_Date]]-Table1[[#This Row],[Interview_Date]])</f>
        <v>3</v>
      </c>
    </row>
    <row r="767" spans="1:2" x14ac:dyDescent="0.3">
      <c r="A767">
        <f>Table1[[#This Row],[Interview_Date]]-Table1[[#This Row],[Application_Date]]</f>
        <v>4</v>
      </c>
      <c r="B767">
        <f>IF(OR(Table1[[#This Row],[Offer_Date]]="",Table1[[#This Row],[Interview_Date]]=""),"",Table1[[#This Row],[Offer_Date]]-Table1[[#This Row],[Interview_Date]])</f>
        <v>7</v>
      </c>
    </row>
    <row r="768" spans="1:2" x14ac:dyDescent="0.3">
      <c r="A768">
        <f>Table1[[#This Row],[Interview_Date]]-Table1[[#This Row],[Application_Date]]</f>
        <v>15</v>
      </c>
      <c r="B768" t="str">
        <f>IF(OR(Table1[[#This Row],[Offer_Date]]="",Table1[[#This Row],[Interview_Date]]=""),"",Table1[[#This Row],[Offer_Date]]-Table1[[#This Row],[Interview_Date]])</f>
        <v/>
      </c>
    </row>
    <row r="769" spans="1:2" x14ac:dyDescent="0.3">
      <c r="A769">
        <f>Table1[[#This Row],[Interview_Date]]-Table1[[#This Row],[Application_Date]]</f>
        <v>7</v>
      </c>
      <c r="B769">
        <f>IF(OR(Table1[[#This Row],[Offer_Date]]="",Table1[[#This Row],[Interview_Date]]=""),"",Table1[[#This Row],[Offer_Date]]-Table1[[#This Row],[Interview_Date]])</f>
        <v>7</v>
      </c>
    </row>
    <row r="770" spans="1:2" x14ac:dyDescent="0.3">
      <c r="A770">
        <f>Table1[[#This Row],[Interview_Date]]-Table1[[#This Row],[Application_Date]]</f>
        <v>3</v>
      </c>
      <c r="B770" t="str">
        <f>IF(OR(Table1[[#This Row],[Offer_Date]]="",Table1[[#This Row],[Interview_Date]]=""),"",Table1[[#This Row],[Offer_Date]]-Table1[[#This Row],[Interview_Date]])</f>
        <v/>
      </c>
    </row>
    <row r="771" spans="1:2" x14ac:dyDescent="0.3">
      <c r="A771">
        <f>Table1[[#This Row],[Interview_Date]]-Table1[[#This Row],[Application_Date]]</f>
        <v>7</v>
      </c>
      <c r="B771" t="str">
        <f>IF(OR(Table1[[#This Row],[Offer_Date]]="",Table1[[#This Row],[Interview_Date]]=""),"",Table1[[#This Row],[Offer_Date]]-Table1[[#This Row],[Interview_Date]])</f>
        <v/>
      </c>
    </row>
    <row r="772" spans="1:2" x14ac:dyDescent="0.3">
      <c r="A772">
        <f>Table1[[#This Row],[Interview_Date]]-Table1[[#This Row],[Application_Date]]</f>
        <v>13</v>
      </c>
      <c r="B772">
        <f>IF(OR(Table1[[#This Row],[Offer_Date]]="",Table1[[#This Row],[Interview_Date]]=""),"",Table1[[#This Row],[Offer_Date]]-Table1[[#This Row],[Interview_Date]])</f>
        <v>4</v>
      </c>
    </row>
    <row r="773" spans="1:2" x14ac:dyDescent="0.3">
      <c r="A773">
        <f>Table1[[#This Row],[Interview_Date]]-Table1[[#This Row],[Application_Date]]</f>
        <v>4</v>
      </c>
      <c r="B773">
        <f>IF(OR(Table1[[#This Row],[Offer_Date]]="",Table1[[#This Row],[Interview_Date]]=""),"",Table1[[#This Row],[Offer_Date]]-Table1[[#This Row],[Interview_Date]])</f>
        <v>5</v>
      </c>
    </row>
    <row r="774" spans="1:2" x14ac:dyDescent="0.3">
      <c r="A774">
        <f>Table1[[#This Row],[Interview_Date]]-Table1[[#This Row],[Application_Date]]</f>
        <v>10</v>
      </c>
      <c r="B774">
        <f>IF(OR(Table1[[#This Row],[Offer_Date]]="",Table1[[#This Row],[Interview_Date]]=""),"",Table1[[#This Row],[Offer_Date]]-Table1[[#This Row],[Interview_Date]])</f>
        <v>3</v>
      </c>
    </row>
    <row r="775" spans="1:2" x14ac:dyDescent="0.3">
      <c r="A775">
        <f>Table1[[#This Row],[Interview_Date]]-Table1[[#This Row],[Application_Date]]</f>
        <v>6</v>
      </c>
      <c r="B775">
        <f>IF(OR(Table1[[#This Row],[Offer_Date]]="",Table1[[#This Row],[Interview_Date]]=""),"",Table1[[#This Row],[Offer_Date]]-Table1[[#This Row],[Interview_Date]])</f>
        <v>3</v>
      </c>
    </row>
    <row r="776" spans="1:2" x14ac:dyDescent="0.3">
      <c r="A776">
        <f>Table1[[#This Row],[Interview_Date]]-Table1[[#This Row],[Application_Date]]</f>
        <v>6</v>
      </c>
      <c r="B776" t="str">
        <f>IF(OR(Table1[[#This Row],[Offer_Date]]="",Table1[[#This Row],[Interview_Date]]=""),"",Table1[[#This Row],[Offer_Date]]-Table1[[#This Row],[Interview_Date]])</f>
        <v/>
      </c>
    </row>
    <row r="777" spans="1:2" x14ac:dyDescent="0.3">
      <c r="A777">
        <f>Table1[[#This Row],[Interview_Date]]-Table1[[#This Row],[Application_Date]]</f>
        <v>14</v>
      </c>
      <c r="B777">
        <f>IF(OR(Table1[[#This Row],[Offer_Date]]="",Table1[[#This Row],[Interview_Date]]=""),"",Table1[[#This Row],[Offer_Date]]-Table1[[#This Row],[Interview_Date]])</f>
        <v>7</v>
      </c>
    </row>
    <row r="778" spans="1:2" x14ac:dyDescent="0.3">
      <c r="A778">
        <f>Table1[[#This Row],[Interview_Date]]-Table1[[#This Row],[Application_Date]]</f>
        <v>9</v>
      </c>
      <c r="B778">
        <f>IF(OR(Table1[[#This Row],[Offer_Date]]="",Table1[[#This Row],[Interview_Date]]=""),"",Table1[[#This Row],[Offer_Date]]-Table1[[#This Row],[Interview_Date]])</f>
        <v>2</v>
      </c>
    </row>
    <row r="779" spans="1:2" x14ac:dyDescent="0.3">
      <c r="A779">
        <f>Table1[[#This Row],[Interview_Date]]-Table1[[#This Row],[Application_Date]]</f>
        <v>14</v>
      </c>
      <c r="B779">
        <f>IF(OR(Table1[[#This Row],[Offer_Date]]="",Table1[[#This Row],[Interview_Date]]=""),"",Table1[[#This Row],[Offer_Date]]-Table1[[#This Row],[Interview_Date]])</f>
        <v>3</v>
      </c>
    </row>
    <row r="780" spans="1:2" x14ac:dyDescent="0.3">
      <c r="A780">
        <f>Table1[[#This Row],[Interview_Date]]-Table1[[#This Row],[Application_Date]]</f>
        <v>11</v>
      </c>
      <c r="B780" t="str">
        <f>IF(OR(Table1[[#This Row],[Offer_Date]]="",Table1[[#This Row],[Interview_Date]]=""),"",Table1[[#This Row],[Offer_Date]]-Table1[[#This Row],[Interview_Date]])</f>
        <v/>
      </c>
    </row>
    <row r="781" spans="1:2" x14ac:dyDescent="0.3">
      <c r="A781">
        <f>Table1[[#This Row],[Interview_Date]]-Table1[[#This Row],[Application_Date]]</f>
        <v>15</v>
      </c>
      <c r="B781">
        <f>IF(OR(Table1[[#This Row],[Offer_Date]]="",Table1[[#This Row],[Interview_Date]]=""),"",Table1[[#This Row],[Offer_Date]]-Table1[[#This Row],[Interview_Date]])</f>
        <v>5</v>
      </c>
    </row>
    <row r="782" spans="1:2" x14ac:dyDescent="0.3">
      <c r="A782">
        <f>Table1[[#This Row],[Interview_Date]]-Table1[[#This Row],[Application_Date]]</f>
        <v>9</v>
      </c>
      <c r="B782" t="str">
        <f>IF(OR(Table1[[#This Row],[Offer_Date]]="",Table1[[#This Row],[Interview_Date]]=""),"",Table1[[#This Row],[Offer_Date]]-Table1[[#This Row],[Interview_Date]])</f>
        <v/>
      </c>
    </row>
    <row r="783" spans="1:2" x14ac:dyDescent="0.3">
      <c r="A783">
        <f>Table1[[#This Row],[Interview_Date]]-Table1[[#This Row],[Application_Date]]</f>
        <v>10</v>
      </c>
      <c r="B783" t="str">
        <f>IF(OR(Table1[[#This Row],[Offer_Date]]="",Table1[[#This Row],[Interview_Date]]=""),"",Table1[[#This Row],[Offer_Date]]-Table1[[#This Row],[Interview_Date]])</f>
        <v/>
      </c>
    </row>
    <row r="784" spans="1:2" x14ac:dyDescent="0.3">
      <c r="A784">
        <f>Table1[[#This Row],[Interview_Date]]-Table1[[#This Row],[Application_Date]]</f>
        <v>10</v>
      </c>
      <c r="B784" t="str">
        <f>IF(OR(Table1[[#This Row],[Offer_Date]]="",Table1[[#This Row],[Interview_Date]]=""),"",Table1[[#This Row],[Offer_Date]]-Table1[[#This Row],[Interview_Date]])</f>
        <v/>
      </c>
    </row>
    <row r="785" spans="1:2" x14ac:dyDescent="0.3">
      <c r="A785">
        <f>Table1[[#This Row],[Interview_Date]]-Table1[[#This Row],[Application_Date]]</f>
        <v>4</v>
      </c>
      <c r="B785">
        <f>IF(OR(Table1[[#This Row],[Offer_Date]]="",Table1[[#This Row],[Interview_Date]]=""),"",Table1[[#This Row],[Offer_Date]]-Table1[[#This Row],[Interview_Date]])</f>
        <v>7</v>
      </c>
    </row>
    <row r="786" spans="1:2" x14ac:dyDescent="0.3">
      <c r="A786">
        <f>Table1[[#This Row],[Interview_Date]]-Table1[[#This Row],[Application_Date]]</f>
        <v>8</v>
      </c>
      <c r="B786">
        <f>IF(OR(Table1[[#This Row],[Offer_Date]]="",Table1[[#This Row],[Interview_Date]]=""),"",Table1[[#This Row],[Offer_Date]]-Table1[[#This Row],[Interview_Date]])</f>
        <v>5</v>
      </c>
    </row>
    <row r="787" spans="1:2" x14ac:dyDescent="0.3">
      <c r="A787">
        <f>Table1[[#This Row],[Interview_Date]]-Table1[[#This Row],[Application_Date]]</f>
        <v>9</v>
      </c>
      <c r="B787">
        <f>IF(OR(Table1[[#This Row],[Offer_Date]]="",Table1[[#This Row],[Interview_Date]]=""),"",Table1[[#This Row],[Offer_Date]]-Table1[[#This Row],[Interview_Date]])</f>
        <v>5</v>
      </c>
    </row>
    <row r="788" spans="1:2" x14ac:dyDescent="0.3">
      <c r="A788">
        <f>Table1[[#This Row],[Interview_Date]]-Table1[[#This Row],[Application_Date]]</f>
        <v>8</v>
      </c>
      <c r="B788" t="str">
        <f>IF(OR(Table1[[#This Row],[Offer_Date]]="",Table1[[#This Row],[Interview_Date]]=""),"",Table1[[#This Row],[Offer_Date]]-Table1[[#This Row],[Interview_Date]])</f>
        <v/>
      </c>
    </row>
    <row r="789" spans="1:2" x14ac:dyDescent="0.3">
      <c r="A789">
        <f>Table1[[#This Row],[Interview_Date]]-Table1[[#This Row],[Application_Date]]</f>
        <v>15</v>
      </c>
      <c r="B789" t="str">
        <f>IF(OR(Table1[[#This Row],[Offer_Date]]="",Table1[[#This Row],[Interview_Date]]=""),"",Table1[[#This Row],[Offer_Date]]-Table1[[#This Row],[Interview_Date]])</f>
        <v/>
      </c>
    </row>
    <row r="790" spans="1:2" x14ac:dyDescent="0.3">
      <c r="A790">
        <f>Table1[[#This Row],[Interview_Date]]-Table1[[#This Row],[Application_Date]]</f>
        <v>9</v>
      </c>
      <c r="B790">
        <f>IF(OR(Table1[[#This Row],[Offer_Date]]="",Table1[[#This Row],[Interview_Date]]=""),"",Table1[[#This Row],[Offer_Date]]-Table1[[#This Row],[Interview_Date]])</f>
        <v>7</v>
      </c>
    </row>
    <row r="791" spans="1:2" x14ac:dyDescent="0.3">
      <c r="A791">
        <f>Table1[[#This Row],[Interview_Date]]-Table1[[#This Row],[Application_Date]]</f>
        <v>11</v>
      </c>
      <c r="B791">
        <f>IF(OR(Table1[[#This Row],[Offer_Date]]="",Table1[[#This Row],[Interview_Date]]=""),"",Table1[[#This Row],[Offer_Date]]-Table1[[#This Row],[Interview_Date]])</f>
        <v>2</v>
      </c>
    </row>
    <row r="792" spans="1:2" x14ac:dyDescent="0.3">
      <c r="A792">
        <f>Table1[[#This Row],[Interview_Date]]-Table1[[#This Row],[Application_Date]]</f>
        <v>10</v>
      </c>
      <c r="B792" t="str">
        <f>IF(OR(Table1[[#This Row],[Offer_Date]]="",Table1[[#This Row],[Interview_Date]]=""),"",Table1[[#This Row],[Offer_Date]]-Table1[[#This Row],[Interview_Date]])</f>
        <v/>
      </c>
    </row>
    <row r="793" spans="1:2" x14ac:dyDescent="0.3">
      <c r="A793">
        <f>Table1[[#This Row],[Interview_Date]]-Table1[[#This Row],[Application_Date]]</f>
        <v>14</v>
      </c>
      <c r="B793">
        <f>IF(OR(Table1[[#This Row],[Offer_Date]]="",Table1[[#This Row],[Interview_Date]]=""),"",Table1[[#This Row],[Offer_Date]]-Table1[[#This Row],[Interview_Date]])</f>
        <v>2</v>
      </c>
    </row>
    <row r="794" spans="1:2" x14ac:dyDescent="0.3">
      <c r="A794">
        <f>Table1[[#This Row],[Interview_Date]]-Table1[[#This Row],[Application_Date]]</f>
        <v>8</v>
      </c>
      <c r="B794" t="str">
        <f>IF(OR(Table1[[#This Row],[Offer_Date]]="",Table1[[#This Row],[Interview_Date]]=""),"",Table1[[#This Row],[Offer_Date]]-Table1[[#This Row],[Interview_Date]])</f>
        <v/>
      </c>
    </row>
    <row r="795" spans="1:2" x14ac:dyDescent="0.3">
      <c r="A795">
        <f>Table1[[#This Row],[Interview_Date]]-Table1[[#This Row],[Application_Date]]</f>
        <v>4</v>
      </c>
      <c r="B795" t="str">
        <f>IF(OR(Table1[[#This Row],[Offer_Date]]="",Table1[[#This Row],[Interview_Date]]=""),"",Table1[[#This Row],[Offer_Date]]-Table1[[#This Row],[Interview_Date]])</f>
        <v/>
      </c>
    </row>
    <row r="796" spans="1:2" x14ac:dyDescent="0.3">
      <c r="A796">
        <f>Table1[[#This Row],[Interview_Date]]-Table1[[#This Row],[Application_Date]]</f>
        <v>10</v>
      </c>
      <c r="B796">
        <f>IF(OR(Table1[[#This Row],[Offer_Date]]="",Table1[[#This Row],[Interview_Date]]=""),"",Table1[[#This Row],[Offer_Date]]-Table1[[#This Row],[Interview_Date]])</f>
        <v>6</v>
      </c>
    </row>
    <row r="797" spans="1:2" x14ac:dyDescent="0.3">
      <c r="A797">
        <f>Table1[[#This Row],[Interview_Date]]-Table1[[#This Row],[Application_Date]]</f>
        <v>14</v>
      </c>
      <c r="B797">
        <f>IF(OR(Table1[[#This Row],[Offer_Date]]="",Table1[[#This Row],[Interview_Date]]=""),"",Table1[[#This Row],[Offer_Date]]-Table1[[#This Row],[Interview_Date]])</f>
        <v>7</v>
      </c>
    </row>
    <row r="798" spans="1:2" x14ac:dyDescent="0.3">
      <c r="A798">
        <f>Table1[[#This Row],[Interview_Date]]-Table1[[#This Row],[Application_Date]]</f>
        <v>12</v>
      </c>
      <c r="B798" t="str">
        <f>IF(OR(Table1[[#This Row],[Offer_Date]]="",Table1[[#This Row],[Interview_Date]]=""),"",Table1[[#This Row],[Offer_Date]]-Table1[[#This Row],[Interview_Date]])</f>
        <v/>
      </c>
    </row>
    <row r="799" spans="1:2" x14ac:dyDescent="0.3">
      <c r="A799">
        <f>Table1[[#This Row],[Interview_Date]]-Table1[[#This Row],[Application_Date]]</f>
        <v>5</v>
      </c>
      <c r="B799">
        <f>IF(OR(Table1[[#This Row],[Offer_Date]]="",Table1[[#This Row],[Interview_Date]]=""),"",Table1[[#This Row],[Offer_Date]]-Table1[[#This Row],[Interview_Date]])</f>
        <v>6</v>
      </c>
    </row>
    <row r="800" spans="1:2" x14ac:dyDescent="0.3">
      <c r="A800">
        <f>Table1[[#This Row],[Interview_Date]]-Table1[[#This Row],[Application_Date]]</f>
        <v>4</v>
      </c>
      <c r="B800" t="str">
        <f>IF(OR(Table1[[#This Row],[Offer_Date]]="",Table1[[#This Row],[Interview_Date]]=""),"",Table1[[#This Row],[Offer_Date]]-Table1[[#This Row],[Interview_Date]])</f>
        <v/>
      </c>
    </row>
    <row r="801" spans="1:2" x14ac:dyDescent="0.3">
      <c r="A801">
        <f>Table1[[#This Row],[Interview_Date]]-Table1[[#This Row],[Application_Date]]</f>
        <v>3</v>
      </c>
      <c r="B801" t="str">
        <f>IF(OR(Table1[[#This Row],[Offer_Date]]="",Table1[[#This Row],[Interview_Date]]=""),"",Table1[[#This Row],[Offer_Date]]-Table1[[#This Row],[Interview_Date]])</f>
        <v/>
      </c>
    </row>
    <row r="802" spans="1:2" x14ac:dyDescent="0.3">
      <c r="A802">
        <f>Table1[[#This Row],[Interview_Date]]-Table1[[#This Row],[Application_Date]]</f>
        <v>6</v>
      </c>
      <c r="B802">
        <f>IF(OR(Table1[[#This Row],[Offer_Date]]="",Table1[[#This Row],[Interview_Date]]=""),"",Table1[[#This Row],[Offer_Date]]-Table1[[#This Row],[Interview_Date]])</f>
        <v>2</v>
      </c>
    </row>
    <row r="803" spans="1:2" x14ac:dyDescent="0.3">
      <c r="A803">
        <f>Table1[[#This Row],[Interview_Date]]-Table1[[#This Row],[Application_Date]]</f>
        <v>8</v>
      </c>
      <c r="B803" t="str">
        <f>IF(OR(Table1[[#This Row],[Offer_Date]]="",Table1[[#This Row],[Interview_Date]]=""),"",Table1[[#This Row],[Offer_Date]]-Table1[[#This Row],[Interview_Date]])</f>
        <v/>
      </c>
    </row>
    <row r="804" spans="1:2" x14ac:dyDescent="0.3">
      <c r="A804">
        <f>Table1[[#This Row],[Interview_Date]]-Table1[[#This Row],[Application_Date]]</f>
        <v>9</v>
      </c>
      <c r="B804" t="str">
        <f>IF(OR(Table1[[#This Row],[Offer_Date]]="",Table1[[#This Row],[Interview_Date]]=""),"",Table1[[#This Row],[Offer_Date]]-Table1[[#This Row],[Interview_Date]])</f>
        <v/>
      </c>
    </row>
    <row r="805" spans="1:2" x14ac:dyDescent="0.3">
      <c r="A805">
        <f>Table1[[#This Row],[Interview_Date]]-Table1[[#This Row],[Application_Date]]</f>
        <v>15</v>
      </c>
      <c r="B805" t="str">
        <f>IF(OR(Table1[[#This Row],[Offer_Date]]="",Table1[[#This Row],[Interview_Date]]=""),"",Table1[[#This Row],[Offer_Date]]-Table1[[#This Row],[Interview_Date]])</f>
        <v/>
      </c>
    </row>
    <row r="806" spans="1:2" x14ac:dyDescent="0.3">
      <c r="A806">
        <f>Table1[[#This Row],[Interview_Date]]-Table1[[#This Row],[Application_Date]]</f>
        <v>15</v>
      </c>
      <c r="B806">
        <f>IF(OR(Table1[[#This Row],[Offer_Date]]="",Table1[[#This Row],[Interview_Date]]=""),"",Table1[[#This Row],[Offer_Date]]-Table1[[#This Row],[Interview_Date]])</f>
        <v>5</v>
      </c>
    </row>
    <row r="807" spans="1:2" x14ac:dyDescent="0.3">
      <c r="A807">
        <f>Table1[[#This Row],[Interview_Date]]-Table1[[#This Row],[Application_Date]]</f>
        <v>4</v>
      </c>
      <c r="B807">
        <f>IF(OR(Table1[[#This Row],[Offer_Date]]="",Table1[[#This Row],[Interview_Date]]=""),"",Table1[[#This Row],[Offer_Date]]-Table1[[#This Row],[Interview_Date]])</f>
        <v>4</v>
      </c>
    </row>
    <row r="808" spans="1:2" x14ac:dyDescent="0.3">
      <c r="A808">
        <f>Table1[[#This Row],[Interview_Date]]-Table1[[#This Row],[Application_Date]]</f>
        <v>9</v>
      </c>
      <c r="B808">
        <f>IF(OR(Table1[[#This Row],[Offer_Date]]="",Table1[[#This Row],[Interview_Date]]=""),"",Table1[[#This Row],[Offer_Date]]-Table1[[#This Row],[Interview_Date]])</f>
        <v>4</v>
      </c>
    </row>
    <row r="809" spans="1:2" x14ac:dyDescent="0.3">
      <c r="A809">
        <f>Table1[[#This Row],[Interview_Date]]-Table1[[#This Row],[Application_Date]]</f>
        <v>13</v>
      </c>
      <c r="B809" t="str">
        <f>IF(OR(Table1[[#This Row],[Offer_Date]]="",Table1[[#This Row],[Interview_Date]]=""),"",Table1[[#This Row],[Offer_Date]]-Table1[[#This Row],[Interview_Date]])</f>
        <v/>
      </c>
    </row>
    <row r="810" spans="1:2" x14ac:dyDescent="0.3">
      <c r="A810">
        <f>Table1[[#This Row],[Interview_Date]]-Table1[[#This Row],[Application_Date]]</f>
        <v>12</v>
      </c>
      <c r="B810">
        <f>IF(OR(Table1[[#This Row],[Offer_Date]]="",Table1[[#This Row],[Interview_Date]]=""),"",Table1[[#This Row],[Offer_Date]]-Table1[[#This Row],[Interview_Date]])</f>
        <v>5</v>
      </c>
    </row>
    <row r="811" spans="1:2" x14ac:dyDescent="0.3">
      <c r="A811">
        <f>Table1[[#This Row],[Interview_Date]]-Table1[[#This Row],[Application_Date]]</f>
        <v>4</v>
      </c>
      <c r="B811">
        <f>IF(OR(Table1[[#This Row],[Offer_Date]]="",Table1[[#This Row],[Interview_Date]]=""),"",Table1[[#This Row],[Offer_Date]]-Table1[[#This Row],[Interview_Date]])</f>
        <v>4</v>
      </c>
    </row>
    <row r="812" spans="1:2" x14ac:dyDescent="0.3">
      <c r="A812">
        <f>Table1[[#This Row],[Interview_Date]]-Table1[[#This Row],[Application_Date]]</f>
        <v>4</v>
      </c>
      <c r="B812" t="str">
        <f>IF(OR(Table1[[#This Row],[Offer_Date]]="",Table1[[#This Row],[Interview_Date]]=""),"",Table1[[#This Row],[Offer_Date]]-Table1[[#This Row],[Interview_Date]])</f>
        <v/>
      </c>
    </row>
    <row r="813" spans="1:2" x14ac:dyDescent="0.3">
      <c r="A813">
        <f>Table1[[#This Row],[Interview_Date]]-Table1[[#This Row],[Application_Date]]</f>
        <v>10</v>
      </c>
      <c r="B813" t="str">
        <f>IF(OR(Table1[[#This Row],[Offer_Date]]="",Table1[[#This Row],[Interview_Date]]=""),"",Table1[[#This Row],[Offer_Date]]-Table1[[#This Row],[Interview_Date]])</f>
        <v/>
      </c>
    </row>
    <row r="814" spans="1:2" x14ac:dyDescent="0.3">
      <c r="A814">
        <f>Table1[[#This Row],[Interview_Date]]-Table1[[#This Row],[Application_Date]]</f>
        <v>4</v>
      </c>
      <c r="B814">
        <f>IF(OR(Table1[[#This Row],[Offer_Date]]="",Table1[[#This Row],[Interview_Date]]=""),"",Table1[[#This Row],[Offer_Date]]-Table1[[#This Row],[Interview_Date]])</f>
        <v>7</v>
      </c>
    </row>
    <row r="815" spans="1:2" x14ac:dyDescent="0.3">
      <c r="A815">
        <f>Table1[[#This Row],[Interview_Date]]-Table1[[#This Row],[Application_Date]]</f>
        <v>9</v>
      </c>
      <c r="B815" t="str">
        <f>IF(OR(Table1[[#This Row],[Offer_Date]]="",Table1[[#This Row],[Interview_Date]]=""),"",Table1[[#This Row],[Offer_Date]]-Table1[[#This Row],[Interview_Date]])</f>
        <v/>
      </c>
    </row>
    <row r="816" spans="1:2" x14ac:dyDescent="0.3">
      <c r="A816">
        <f>Table1[[#This Row],[Interview_Date]]-Table1[[#This Row],[Application_Date]]</f>
        <v>7</v>
      </c>
      <c r="B816">
        <f>IF(OR(Table1[[#This Row],[Offer_Date]]="",Table1[[#This Row],[Interview_Date]]=""),"",Table1[[#This Row],[Offer_Date]]-Table1[[#This Row],[Interview_Date]])</f>
        <v>2</v>
      </c>
    </row>
    <row r="817" spans="1:2" x14ac:dyDescent="0.3">
      <c r="A817">
        <f>Table1[[#This Row],[Interview_Date]]-Table1[[#This Row],[Application_Date]]</f>
        <v>10</v>
      </c>
      <c r="B817" t="str">
        <f>IF(OR(Table1[[#This Row],[Offer_Date]]="",Table1[[#This Row],[Interview_Date]]=""),"",Table1[[#This Row],[Offer_Date]]-Table1[[#This Row],[Interview_Date]])</f>
        <v/>
      </c>
    </row>
    <row r="818" spans="1:2" x14ac:dyDescent="0.3">
      <c r="A818">
        <f>Table1[[#This Row],[Interview_Date]]-Table1[[#This Row],[Application_Date]]</f>
        <v>4</v>
      </c>
      <c r="B818" t="str">
        <f>IF(OR(Table1[[#This Row],[Offer_Date]]="",Table1[[#This Row],[Interview_Date]]=""),"",Table1[[#This Row],[Offer_Date]]-Table1[[#This Row],[Interview_Date]])</f>
        <v/>
      </c>
    </row>
    <row r="819" spans="1:2" x14ac:dyDescent="0.3">
      <c r="A819">
        <f>Table1[[#This Row],[Interview_Date]]-Table1[[#This Row],[Application_Date]]</f>
        <v>4</v>
      </c>
      <c r="B819" t="str">
        <f>IF(OR(Table1[[#This Row],[Offer_Date]]="",Table1[[#This Row],[Interview_Date]]=""),"",Table1[[#This Row],[Offer_Date]]-Table1[[#This Row],[Interview_Date]])</f>
        <v/>
      </c>
    </row>
    <row r="820" spans="1:2" x14ac:dyDescent="0.3">
      <c r="A820">
        <f>Table1[[#This Row],[Interview_Date]]-Table1[[#This Row],[Application_Date]]</f>
        <v>7</v>
      </c>
      <c r="B820" t="str">
        <f>IF(OR(Table1[[#This Row],[Offer_Date]]="",Table1[[#This Row],[Interview_Date]]=""),"",Table1[[#This Row],[Offer_Date]]-Table1[[#This Row],[Interview_Date]])</f>
        <v/>
      </c>
    </row>
    <row r="821" spans="1:2" x14ac:dyDescent="0.3">
      <c r="A821">
        <f>Table1[[#This Row],[Interview_Date]]-Table1[[#This Row],[Application_Date]]</f>
        <v>4</v>
      </c>
      <c r="B821">
        <f>IF(OR(Table1[[#This Row],[Offer_Date]]="",Table1[[#This Row],[Interview_Date]]=""),"",Table1[[#This Row],[Offer_Date]]-Table1[[#This Row],[Interview_Date]])</f>
        <v>3</v>
      </c>
    </row>
    <row r="822" spans="1:2" x14ac:dyDescent="0.3">
      <c r="A822">
        <f>Table1[[#This Row],[Interview_Date]]-Table1[[#This Row],[Application_Date]]</f>
        <v>5</v>
      </c>
      <c r="B822">
        <f>IF(OR(Table1[[#This Row],[Offer_Date]]="",Table1[[#This Row],[Interview_Date]]=""),"",Table1[[#This Row],[Offer_Date]]-Table1[[#This Row],[Interview_Date]])</f>
        <v>7</v>
      </c>
    </row>
    <row r="823" spans="1:2" x14ac:dyDescent="0.3">
      <c r="A823">
        <f>Table1[[#This Row],[Interview_Date]]-Table1[[#This Row],[Application_Date]]</f>
        <v>3</v>
      </c>
      <c r="B823">
        <f>IF(OR(Table1[[#This Row],[Offer_Date]]="",Table1[[#This Row],[Interview_Date]]=""),"",Table1[[#This Row],[Offer_Date]]-Table1[[#This Row],[Interview_Date]])</f>
        <v>4</v>
      </c>
    </row>
    <row r="824" spans="1:2" x14ac:dyDescent="0.3">
      <c r="A824">
        <f>Table1[[#This Row],[Interview_Date]]-Table1[[#This Row],[Application_Date]]</f>
        <v>14</v>
      </c>
      <c r="B824">
        <f>IF(OR(Table1[[#This Row],[Offer_Date]]="",Table1[[#This Row],[Interview_Date]]=""),"",Table1[[#This Row],[Offer_Date]]-Table1[[#This Row],[Interview_Date]])</f>
        <v>5</v>
      </c>
    </row>
    <row r="825" spans="1:2" x14ac:dyDescent="0.3">
      <c r="A825">
        <f>Table1[[#This Row],[Interview_Date]]-Table1[[#This Row],[Application_Date]]</f>
        <v>5</v>
      </c>
      <c r="B825">
        <f>IF(OR(Table1[[#This Row],[Offer_Date]]="",Table1[[#This Row],[Interview_Date]]=""),"",Table1[[#This Row],[Offer_Date]]-Table1[[#This Row],[Interview_Date]])</f>
        <v>3</v>
      </c>
    </row>
    <row r="826" spans="1:2" x14ac:dyDescent="0.3">
      <c r="A826">
        <f>Table1[[#This Row],[Interview_Date]]-Table1[[#This Row],[Application_Date]]</f>
        <v>6</v>
      </c>
      <c r="B826">
        <f>IF(OR(Table1[[#This Row],[Offer_Date]]="",Table1[[#This Row],[Interview_Date]]=""),"",Table1[[#This Row],[Offer_Date]]-Table1[[#This Row],[Interview_Date]])</f>
        <v>4</v>
      </c>
    </row>
    <row r="827" spans="1:2" x14ac:dyDescent="0.3">
      <c r="A827">
        <f>Table1[[#This Row],[Interview_Date]]-Table1[[#This Row],[Application_Date]]</f>
        <v>11</v>
      </c>
      <c r="B827">
        <f>IF(OR(Table1[[#This Row],[Offer_Date]]="",Table1[[#This Row],[Interview_Date]]=""),"",Table1[[#This Row],[Offer_Date]]-Table1[[#This Row],[Interview_Date]])</f>
        <v>6</v>
      </c>
    </row>
    <row r="828" spans="1:2" x14ac:dyDescent="0.3">
      <c r="A828">
        <f>Table1[[#This Row],[Interview_Date]]-Table1[[#This Row],[Application_Date]]</f>
        <v>11</v>
      </c>
      <c r="B828" t="str">
        <f>IF(OR(Table1[[#This Row],[Offer_Date]]="",Table1[[#This Row],[Interview_Date]]=""),"",Table1[[#This Row],[Offer_Date]]-Table1[[#This Row],[Interview_Date]])</f>
        <v/>
      </c>
    </row>
    <row r="829" spans="1:2" x14ac:dyDescent="0.3">
      <c r="A829">
        <f>Table1[[#This Row],[Interview_Date]]-Table1[[#This Row],[Application_Date]]</f>
        <v>4</v>
      </c>
      <c r="B829">
        <f>IF(OR(Table1[[#This Row],[Offer_Date]]="",Table1[[#This Row],[Interview_Date]]=""),"",Table1[[#This Row],[Offer_Date]]-Table1[[#This Row],[Interview_Date]])</f>
        <v>7</v>
      </c>
    </row>
    <row r="830" spans="1:2" x14ac:dyDescent="0.3">
      <c r="A830">
        <f>Table1[[#This Row],[Interview_Date]]-Table1[[#This Row],[Application_Date]]</f>
        <v>14</v>
      </c>
      <c r="B830" t="str">
        <f>IF(OR(Table1[[#This Row],[Offer_Date]]="",Table1[[#This Row],[Interview_Date]]=""),"",Table1[[#This Row],[Offer_Date]]-Table1[[#This Row],[Interview_Date]])</f>
        <v/>
      </c>
    </row>
    <row r="831" spans="1:2" x14ac:dyDescent="0.3">
      <c r="A831">
        <f>Table1[[#This Row],[Interview_Date]]-Table1[[#This Row],[Application_Date]]</f>
        <v>7</v>
      </c>
      <c r="B831">
        <f>IF(OR(Table1[[#This Row],[Offer_Date]]="",Table1[[#This Row],[Interview_Date]]=""),"",Table1[[#This Row],[Offer_Date]]-Table1[[#This Row],[Interview_Date]])</f>
        <v>6</v>
      </c>
    </row>
    <row r="832" spans="1:2" x14ac:dyDescent="0.3">
      <c r="A832">
        <f>Table1[[#This Row],[Interview_Date]]-Table1[[#This Row],[Application_Date]]</f>
        <v>6</v>
      </c>
      <c r="B832" t="str">
        <f>IF(OR(Table1[[#This Row],[Offer_Date]]="",Table1[[#This Row],[Interview_Date]]=""),"",Table1[[#This Row],[Offer_Date]]-Table1[[#This Row],[Interview_Date]])</f>
        <v/>
      </c>
    </row>
    <row r="833" spans="1:2" x14ac:dyDescent="0.3">
      <c r="A833">
        <f>Table1[[#This Row],[Interview_Date]]-Table1[[#This Row],[Application_Date]]</f>
        <v>11</v>
      </c>
      <c r="B833" t="str">
        <f>IF(OR(Table1[[#This Row],[Offer_Date]]="",Table1[[#This Row],[Interview_Date]]=""),"",Table1[[#This Row],[Offer_Date]]-Table1[[#This Row],[Interview_Date]])</f>
        <v/>
      </c>
    </row>
    <row r="834" spans="1:2" x14ac:dyDescent="0.3">
      <c r="A834">
        <f>Table1[[#This Row],[Interview_Date]]-Table1[[#This Row],[Application_Date]]</f>
        <v>13</v>
      </c>
      <c r="B834" t="str">
        <f>IF(OR(Table1[[#This Row],[Offer_Date]]="",Table1[[#This Row],[Interview_Date]]=""),"",Table1[[#This Row],[Offer_Date]]-Table1[[#This Row],[Interview_Date]])</f>
        <v/>
      </c>
    </row>
    <row r="835" spans="1:2" x14ac:dyDescent="0.3">
      <c r="A835">
        <f>Table1[[#This Row],[Interview_Date]]-Table1[[#This Row],[Application_Date]]</f>
        <v>12</v>
      </c>
      <c r="B835" t="str">
        <f>IF(OR(Table1[[#This Row],[Offer_Date]]="",Table1[[#This Row],[Interview_Date]]=""),"",Table1[[#This Row],[Offer_Date]]-Table1[[#This Row],[Interview_Date]])</f>
        <v/>
      </c>
    </row>
    <row r="836" spans="1:2" x14ac:dyDescent="0.3">
      <c r="A836">
        <f>Table1[[#This Row],[Interview_Date]]-Table1[[#This Row],[Application_Date]]</f>
        <v>12</v>
      </c>
      <c r="B836" t="str">
        <f>IF(OR(Table1[[#This Row],[Offer_Date]]="",Table1[[#This Row],[Interview_Date]]=""),"",Table1[[#This Row],[Offer_Date]]-Table1[[#This Row],[Interview_Date]])</f>
        <v/>
      </c>
    </row>
    <row r="837" spans="1:2" x14ac:dyDescent="0.3">
      <c r="A837">
        <f>Table1[[#This Row],[Interview_Date]]-Table1[[#This Row],[Application_Date]]</f>
        <v>14</v>
      </c>
      <c r="B837">
        <f>IF(OR(Table1[[#This Row],[Offer_Date]]="",Table1[[#This Row],[Interview_Date]]=""),"",Table1[[#This Row],[Offer_Date]]-Table1[[#This Row],[Interview_Date]])</f>
        <v>4</v>
      </c>
    </row>
    <row r="838" spans="1:2" x14ac:dyDescent="0.3">
      <c r="A838">
        <f>Table1[[#This Row],[Interview_Date]]-Table1[[#This Row],[Application_Date]]</f>
        <v>4</v>
      </c>
      <c r="B838" t="str">
        <f>IF(OR(Table1[[#This Row],[Offer_Date]]="",Table1[[#This Row],[Interview_Date]]=""),"",Table1[[#This Row],[Offer_Date]]-Table1[[#This Row],[Interview_Date]])</f>
        <v/>
      </c>
    </row>
    <row r="839" spans="1:2" x14ac:dyDescent="0.3">
      <c r="A839">
        <f>Table1[[#This Row],[Interview_Date]]-Table1[[#This Row],[Application_Date]]</f>
        <v>13</v>
      </c>
      <c r="B839">
        <f>IF(OR(Table1[[#This Row],[Offer_Date]]="",Table1[[#This Row],[Interview_Date]]=""),"",Table1[[#This Row],[Offer_Date]]-Table1[[#This Row],[Interview_Date]])</f>
        <v>3</v>
      </c>
    </row>
    <row r="840" spans="1:2" x14ac:dyDescent="0.3">
      <c r="A840">
        <f>Table1[[#This Row],[Interview_Date]]-Table1[[#This Row],[Application_Date]]</f>
        <v>5</v>
      </c>
      <c r="B840" t="str">
        <f>IF(OR(Table1[[#This Row],[Offer_Date]]="",Table1[[#This Row],[Interview_Date]]=""),"",Table1[[#This Row],[Offer_Date]]-Table1[[#This Row],[Interview_Date]])</f>
        <v/>
      </c>
    </row>
    <row r="841" spans="1:2" x14ac:dyDescent="0.3">
      <c r="A841">
        <f>Table1[[#This Row],[Interview_Date]]-Table1[[#This Row],[Application_Date]]</f>
        <v>14</v>
      </c>
      <c r="B841" t="str">
        <f>IF(OR(Table1[[#This Row],[Offer_Date]]="",Table1[[#This Row],[Interview_Date]]=""),"",Table1[[#This Row],[Offer_Date]]-Table1[[#This Row],[Interview_Date]])</f>
        <v/>
      </c>
    </row>
    <row r="842" spans="1:2" x14ac:dyDescent="0.3">
      <c r="A842">
        <f>Table1[[#This Row],[Interview_Date]]-Table1[[#This Row],[Application_Date]]</f>
        <v>4</v>
      </c>
      <c r="B842">
        <f>IF(OR(Table1[[#This Row],[Offer_Date]]="",Table1[[#This Row],[Interview_Date]]=""),"",Table1[[#This Row],[Offer_Date]]-Table1[[#This Row],[Interview_Date]])</f>
        <v>7</v>
      </c>
    </row>
    <row r="843" spans="1:2" x14ac:dyDescent="0.3">
      <c r="A843">
        <f>Table1[[#This Row],[Interview_Date]]-Table1[[#This Row],[Application_Date]]</f>
        <v>8</v>
      </c>
      <c r="B843">
        <f>IF(OR(Table1[[#This Row],[Offer_Date]]="",Table1[[#This Row],[Interview_Date]]=""),"",Table1[[#This Row],[Offer_Date]]-Table1[[#This Row],[Interview_Date]])</f>
        <v>4</v>
      </c>
    </row>
    <row r="844" spans="1:2" x14ac:dyDescent="0.3">
      <c r="A844">
        <f>Table1[[#This Row],[Interview_Date]]-Table1[[#This Row],[Application_Date]]</f>
        <v>10</v>
      </c>
      <c r="B844">
        <f>IF(OR(Table1[[#This Row],[Offer_Date]]="",Table1[[#This Row],[Interview_Date]]=""),"",Table1[[#This Row],[Offer_Date]]-Table1[[#This Row],[Interview_Date]])</f>
        <v>7</v>
      </c>
    </row>
    <row r="845" spans="1:2" x14ac:dyDescent="0.3">
      <c r="A845">
        <f>Table1[[#This Row],[Interview_Date]]-Table1[[#This Row],[Application_Date]]</f>
        <v>14</v>
      </c>
      <c r="B845" t="str">
        <f>IF(OR(Table1[[#This Row],[Offer_Date]]="",Table1[[#This Row],[Interview_Date]]=""),"",Table1[[#This Row],[Offer_Date]]-Table1[[#This Row],[Interview_Date]])</f>
        <v/>
      </c>
    </row>
    <row r="846" spans="1:2" x14ac:dyDescent="0.3">
      <c r="A846">
        <f>Table1[[#This Row],[Interview_Date]]-Table1[[#This Row],[Application_Date]]</f>
        <v>5</v>
      </c>
      <c r="B846" t="str">
        <f>IF(OR(Table1[[#This Row],[Offer_Date]]="",Table1[[#This Row],[Interview_Date]]=""),"",Table1[[#This Row],[Offer_Date]]-Table1[[#This Row],[Interview_Date]])</f>
        <v/>
      </c>
    </row>
    <row r="847" spans="1:2" x14ac:dyDescent="0.3">
      <c r="A847">
        <f>Table1[[#This Row],[Interview_Date]]-Table1[[#This Row],[Application_Date]]</f>
        <v>12</v>
      </c>
      <c r="B847" t="str">
        <f>IF(OR(Table1[[#This Row],[Offer_Date]]="",Table1[[#This Row],[Interview_Date]]=""),"",Table1[[#This Row],[Offer_Date]]-Table1[[#This Row],[Interview_Date]])</f>
        <v/>
      </c>
    </row>
    <row r="848" spans="1:2" x14ac:dyDescent="0.3">
      <c r="A848">
        <f>Table1[[#This Row],[Interview_Date]]-Table1[[#This Row],[Application_Date]]</f>
        <v>6</v>
      </c>
      <c r="B848">
        <f>IF(OR(Table1[[#This Row],[Offer_Date]]="",Table1[[#This Row],[Interview_Date]]=""),"",Table1[[#This Row],[Offer_Date]]-Table1[[#This Row],[Interview_Date]])</f>
        <v>7</v>
      </c>
    </row>
    <row r="849" spans="1:2" x14ac:dyDescent="0.3">
      <c r="A849">
        <f>Table1[[#This Row],[Interview_Date]]-Table1[[#This Row],[Application_Date]]</f>
        <v>4</v>
      </c>
      <c r="B849" t="str">
        <f>IF(OR(Table1[[#This Row],[Offer_Date]]="",Table1[[#This Row],[Interview_Date]]=""),"",Table1[[#This Row],[Offer_Date]]-Table1[[#This Row],[Interview_Date]])</f>
        <v/>
      </c>
    </row>
    <row r="850" spans="1:2" x14ac:dyDescent="0.3">
      <c r="A850">
        <f>Table1[[#This Row],[Interview_Date]]-Table1[[#This Row],[Application_Date]]</f>
        <v>8</v>
      </c>
      <c r="B850">
        <f>IF(OR(Table1[[#This Row],[Offer_Date]]="",Table1[[#This Row],[Interview_Date]]=""),"",Table1[[#This Row],[Offer_Date]]-Table1[[#This Row],[Interview_Date]])</f>
        <v>4</v>
      </c>
    </row>
    <row r="851" spans="1:2" x14ac:dyDescent="0.3">
      <c r="A851">
        <f>Table1[[#This Row],[Interview_Date]]-Table1[[#This Row],[Application_Date]]</f>
        <v>13</v>
      </c>
      <c r="B851" t="str">
        <f>IF(OR(Table1[[#This Row],[Offer_Date]]="",Table1[[#This Row],[Interview_Date]]=""),"",Table1[[#This Row],[Offer_Date]]-Table1[[#This Row],[Interview_Date]])</f>
        <v/>
      </c>
    </row>
    <row r="852" spans="1:2" x14ac:dyDescent="0.3">
      <c r="A852">
        <f>Table1[[#This Row],[Interview_Date]]-Table1[[#This Row],[Application_Date]]</f>
        <v>8</v>
      </c>
      <c r="B852" t="str">
        <f>IF(OR(Table1[[#This Row],[Offer_Date]]="",Table1[[#This Row],[Interview_Date]]=""),"",Table1[[#This Row],[Offer_Date]]-Table1[[#This Row],[Interview_Date]])</f>
        <v/>
      </c>
    </row>
    <row r="853" spans="1:2" x14ac:dyDescent="0.3">
      <c r="A853">
        <f>Table1[[#This Row],[Interview_Date]]-Table1[[#This Row],[Application_Date]]</f>
        <v>11</v>
      </c>
      <c r="B853">
        <f>IF(OR(Table1[[#This Row],[Offer_Date]]="",Table1[[#This Row],[Interview_Date]]=""),"",Table1[[#This Row],[Offer_Date]]-Table1[[#This Row],[Interview_Date]])</f>
        <v>2</v>
      </c>
    </row>
    <row r="854" spans="1:2" x14ac:dyDescent="0.3">
      <c r="A854">
        <f>Table1[[#This Row],[Interview_Date]]-Table1[[#This Row],[Application_Date]]</f>
        <v>10</v>
      </c>
      <c r="B854">
        <f>IF(OR(Table1[[#This Row],[Offer_Date]]="",Table1[[#This Row],[Interview_Date]]=""),"",Table1[[#This Row],[Offer_Date]]-Table1[[#This Row],[Interview_Date]])</f>
        <v>4</v>
      </c>
    </row>
    <row r="855" spans="1:2" x14ac:dyDescent="0.3">
      <c r="A855">
        <f>Table1[[#This Row],[Interview_Date]]-Table1[[#This Row],[Application_Date]]</f>
        <v>8</v>
      </c>
      <c r="B855">
        <f>IF(OR(Table1[[#This Row],[Offer_Date]]="",Table1[[#This Row],[Interview_Date]]=""),"",Table1[[#This Row],[Offer_Date]]-Table1[[#This Row],[Interview_Date]])</f>
        <v>5</v>
      </c>
    </row>
    <row r="856" spans="1:2" x14ac:dyDescent="0.3">
      <c r="A856">
        <f>Table1[[#This Row],[Interview_Date]]-Table1[[#This Row],[Application_Date]]</f>
        <v>3</v>
      </c>
      <c r="B856">
        <f>IF(OR(Table1[[#This Row],[Offer_Date]]="",Table1[[#This Row],[Interview_Date]]=""),"",Table1[[#This Row],[Offer_Date]]-Table1[[#This Row],[Interview_Date]])</f>
        <v>7</v>
      </c>
    </row>
    <row r="857" spans="1:2" x14ac:dyDescent="0.3">
      <c r="A857">
        <f>Table1[[#This Row],[Interview_Date]]-Table1[[#This Row],[Application_Date]]</f>
        <v>14</v>
      </c>
      <c r="B857">
        <f>IF(OR(Table1[[#This Row],[Offer_Date]]="",Table1[[#This Row],[Interview_Date]]=""),"",Table1[[#This Row],[Offer_Date]]-Table1[[#This Row],[Interview_Date]])</f>
        <v>6</v>
      </c>
    </row>
    <row r="858" spans="1:2" x14ac:dyDescent="0.3">
      <c r="A858">
        <f>Table1[[#This Row],[Interview_Date]]-Table1[[#This Row],[Application_Date]]</f>
        <v>8</v>
      </c>
      <c r="B858" t="str">
        <f>IF(OR(Table1[[#This Row],[Offer_Date]]="",Table1[[#This Row],[Interview_Date]]=""),"",Table1[[#This Row],[Offer_Date]]-Table1[[#This Row],[Interview_Date]])</f>
        <v/>
      </c>
    </row>
    <row r="859" spans="1:2" x14ac:dyDescent="0.3">
      <c r="A859">
        <f>Table1[[#This Row],[Interview_Date]]-Table1[[#This Row],[Application_Date]]</f>
        <v>9</v>
      </c>
      <c r="B859">
        <f>IF(OR(Table1[[#This Row],[Offer_Date]]="",Table1[[#This Row],[Interview_Date]]=""),"",Table1[[#This Row],[Offer_Date]]-Table1[[#This Row],[Interview_Date]])</f>
        <v>7</v>
      </c>
    </row>
    <row r="860" spans="1:2" x14ac:dyDescent="0.3">
      <c r="A860">
        <f>Table1[[#This Row],[Interview_Date]]-Table1[[#This Row],[Application_Date]]</f>
        <v>7</v>
      </c>
      <c r="B860" t="str">
        <f>IF(OR(Table1[[#This Row],[Offer_Date]]="",Table1[[#This Row],[Interview_Date]]=""),"",Table1[[#This Row],[Offer_Date]]-Table1[[#This Row],[Interview_Date]])</f>
        <v/>
      </c>
    </row>
    <row r="861" spans="1:2" x14ac:dyDescent="0.3">
      <c r="A861">
        <f>Table1[[#This Row],[Interview_Date]]-Table1[[#This Row],[Application_Date]]</f>
        <v>8</v>
      </c>
      <c r="B861">
        <f>IF(OR(Table1[[#This Row],[Offer_Date]]="",Table1[[#This Row],[Interview_Date]]=""),"",Table1[[#This Row],[Offer_Date]]-Table1[[#This Row],[Interview_Date]])</f>
        <v>5</v>
      </c>
    </row>
    <row r="862" spans="1:2" x14ac:dyDescent="0.3">
      <c r="A862">
        <f>Table1[[#This Row],[Interview_Date]]-Table1[[#This Row],[Application_Date]]</f>
        <v>4</v>
      </c>
      <c r="B862">
        <f>IF(OR(Table1[[#This Row],[Offer_Date]]="",Table1[[#This Row],[Interview_Date]]=""),"",Table1[[#This Row],[Offer_Date]]-Table1[[#This Row],[Interview_Date]])</f>
        <v>6</v>
      </c>
    </row>
    <row r="863" spans="1:2" x14ac:dyDescent="0.3">
      <c r="A863">
        <f>Table1[[#This Row],[Interview_Date]]-Table1[[#This Row],[Application_Date]]</f>
        <v>8</v>
      </c>
      <c r="B863">
        <f>IF(OR(Table1[[#This Row],[Offer_Date]]="",Table1[[#This Row],[Interview_Date]]=""),"",Table1[[#This Row],[Offer_Date]]-Table1[[#This Row],[Interview_Date]])</f>
        <v>4</v>
      </c>
    </row>
    <row r="864" spans="1:2" x14ac:dyDescent="0.3">
      <c r="A864">
        <f>Table1[[#This Row],[Interview_Date]]-Table1[[#This Row],[Application_Date]]</f>
        <v>12</v>
      </c>
      <c r="B864" t="str">
        <f>IF(OR(Table1[[#This Row],[Offer_Date]]="",Table1[[#This Row],[Interview_Date]]=""),"",Table1[[#This Row],[Offer_Date]]-Table1[[#This Row],[Interview_Date]])</f>
        <v/>
      </c>
    </row>
    <row r="865" spans="1:2" x14ac:dyDescent="0.3">
      <c r="A865">
        <f>Table1[[#This Row],[Interview_Date]]-Table1[[#This Row],[Application_Date]]</f>
        <v>3</v>
      </c>
      <c r="B865">
        <f>IF(OR(Table1[[#This Row],[Offer_Date]]="",Table1[[#This Row],[Interview_Date]]=""),"",Table1[[#This Row],[Offer_Date]]-Table1[[#This Row],[Interview_Date]])</f>
        <v>4</v>
      </c>
    </row>
    <row r="866" spans="1:2" x14ac:dyDescent="0.3">
      <c r="A866">
        <f>Table1[[#This Row],[Interview_Date]]-Table1[[#This Row],[Application_Date]]</f>
        <v>15</v>
      </c>
      <c r="B866" t="str">
        <f>IF(OR(Table1[[#This Row],[Offer_Date]]="",Table1[[#This Row],[Interview_Date]]=""),"",Table1[[#This Row],[Offer_Date]]-Table1[[#This Row],[Interview_Date]])</f>
        <v/>
      </c>
    </row>
    <row r="867" spans="1:2" x14ac:dyDescent="0.3">
      <c r="A867">
        <f>Table1[[#This Row],[Interview_Date]]-Table1[[#This Row],[Application_Date]]</f>
        <v>10</v>
      </c>
      <c r="B867">
        <f>IF(OR(Table1[[#This Row],[Offer_Date]]="",Table1[[#This Row],[Interview_Date]]=""),"",Table1[[#This Row],[Offer_Date]]-Table1[[#This Row],[Interview_Date]])</f>
        <v>5</v>
      </c>
    </row>
    <row r="868" spans="1:2" x14ac:dyDescent="0.3">
      <c r="A868">
        <f>Table1[[#This Row],[Interview_Date]]-Table1[[#This Row],[Application_Date]]</f>
        <v>15</v>
      </c>
      <c r="B868" t="str">
        <f>IF(OR(Table1[[#This Row],[Offer_Date]]="",Table1[[#This Row],[Interview_Date]]=""),"",Table1[[#This Row],[Offer_Date]]-Table1[[#This Row],[Interview_Date]])</f>
        <v/>
      </c>
    </row>
    <row r="869" spans="1:2" x14ac:dyDescent="0.3">
      <c r="A869">
        <f>Table1[[#This Row],[Interview_Date]]-Table1[[#This Row],[Application_Date]]</f>
        <v>3</v>
      </c>
      <c r="B869" t="str">
        <f>IF(OR(Table1[[#This Row],[Offer_Date]]="",Table1[[#This Row],[Interview_Date]]=""),"",Table1[[#This Row],[Offer_Date]]-Table1[[#This Row],[Interview_Date]])</f>
        <v/>
      </c>
    </row>
    <row r="870" spans="1:2" x14ac:dyDescent="0.3">
      <c r="A870">
        <f>Table1[[#This Row],[Interview_Date]]-Table1[[#This Row],[Application_Date]]</f>
        <v>6</v>
      </c>
      <c r="B870" t="str">
        <f>IF(OR(Table1[[#This Row],[Offer_Date]]="",Table1[[#This Row],[Interview_Date]]=""),"",Table1[[#This Row],[Offer_Date]]-Table1[[#This Row],[Interview_Date]])</f>
        <v/>
      </c>
    </row>
    <row r="871" spans="1:2" x14ac:dyDescent="0.3">
      <c r="A871">
        <f>Table1[[#This Row],[Interview_Date]]-Table1[[#This Row],[Application_Date]]</f>
        <v>3</v>
      </c>
      <c r="B871">
        <f>IF(OR(Table1[[#This Row],[Offer_Date]]="",Table1[[#This Row],[Interview_Date]]=""),"",Table1[[#This Row],[Offer_Date]]-Table1[[#This Row],[Interview_Date]])</f>
        <v>4</v>
      </c>
    </row>
    <row r="872" spans="1:2" x14ac:dyDescent="0.3">
      <c r="A872">
        <f>Table1[[#This Row],[Interview_Date]]-Table1[[#This Row],[Application_Date]]</f>
        <v>13</v>
      </c>
      <c r="B872">
        <f>IF(OR(Table1[[#This Row],[Offer_Date]]="",Table1[[#This Row],[Interview_Date]]=""),"",Table1[[#This Row],[Offer_Date]]-Table1[[#This Row],[Interview_Date]])</f>
        <v>2</v>
      </c>
    </row>
    <row r="873" spans="1:2" x14ac:dyDescent="0.3">
      <c r="A873">
        <f>Table1[[#This Row],[Interview_Date]]-Table1[[#This Row],[Application_Date]]</f>
        <v>8</v>
      </c>
      <c r="B873" t="str">
        <f>IF(OR(Table1[[#This Row],[Offer_Date]]="",Table1[[#This Row],[Interview_Date]]=""),"",Table1[[#This Row],[Offer_Date]]-Table1[[#This Row],[Interview_Date]])</f>
        <v/>
      </c>
    </row>
    <row r="874" spans="1:2" x14ac:dyDescent="0.3">
      <c r="A874">
        <f>Table1[[#This Row],[Interview_Date]]-Table1[[#This Row],[Application_Date]]</f>
        <v>9</v>
      </c>
      <c r="B874" t="str">
        <f>IF(OR(Table1[[#This Row],[Offer_Date]]="",Table1[[#This Row],[Interview_Date]]=""),"",Table1[[#This Row],[Offer_Date]]-Table1[[#This Row],[Interview_Date]])</f>
        <v/>
      </c>
    </row>
    <row r="875" spans="1:2" x14ac:dyDescent="0.3">
      <c r="A875">
        <f>Table1[[#This Row],[Interview_Date]]-Table1[[#This Row],[Application_Date]]</f>
        <v>5</v>
      </c>
      <c r="B875">
        <f>IF(OR(Table1[[#This Row],[Offer_Date]]="",Table1[[#This Row],[Interview_Date]]=""),"",Table1[[#This Row],[Offer_Date]]-Table1[[#This Row],[Interview_Date]])</f>
        <v>7</v>
      </c>
    </row>
    <row r="876" spans="1:2" x14ac:dyDescent="0.3">
      <c r="A876">
        <f>Table1[[#This Row],[Interview_Date]]-Table1[[#This Row],[Application_Date]]</f>
        <v>7</v>
      </c>
      <c r="B876" t="str">
        <f>IF(OR(Table1[[#This Row],[Offer_Date]]="",Table1[[#This Row],[Interview_Date]]=""),"",Table1[[#This Row],[Offer_Date]]-Table1[[#This Row],[Interview_Date]])</f>
        <v/>
      </c>
    </row>
    <row r="877" spans="1:2" x14ac:dyDescent="0.3">
      <c r="A877">
        <f>Table1[[#This Row],[Interview_Date]]-Table1[[#This Row],[Application_Date]]</f>
        <v>6</v>
      </c>
      <c r="B877">
        <f>IF(OR(Table1[[#This Row],[Offer_Date]]="",Table1[[#This Row],[Interview_Date]]=""),"",Table1[[#This Row],[Offer_Date]]-Table1[[#This Row],[Interview_Date]])</f>
        <v>5</v>
      </c>
    </row>
    <row r="878" spans="1:2" x14ac:dyDescent="0.3">
      <c r="A878">
        <f>Table1[[#This Row],[Interview_Date]]-Table1[[#This Row],[Application_Date]]</f>
        <v>3</v>
      </c>
      <c r="B878">
        <f>IF(OR(Table1[[#This Row],[Offer_Date]]="",Table1[[#This Row],[Interview_Date]]=""),"",Table1[[#This Row],[Offer_Date]]-Table1[[#This Row],[Interview_Date]])</f>
        <v>6</v>
      </c>
    </row>
    <row r="879" spans="1:2" x14ac:dyDescent="0.3">
      <c r="A879">
        <f>Table1[[#This Row],[Interview_Date]]-Table1[[#This Row],[Application_Date]]</f>
        <v>12</v>
      </c>
      <c r="B879">
        <f>IF(OR(Table1[[#This Row],[Offer_Date]]="",Table1[[#This Row],[Interview_Date]]=""),"",Table1[[#This Row],[Offer_Date]]-Table1[[#This Row],[Interview_Date]])</f>
        <v>5</v>
      </c>
    </row>
    <row r="880" spans="1:2" x14ac:dyDescent="0.3">
      <c r="A880">
        <f>Table1[[#This Row],[Interview_Date]]-Table1[[#This Row],[Application_Date]]</f>
        <v>7</v>
      </c>
      <c r="B880" t="str">
        <f>IF(OR(Table1[[#This Row],[Offer_Date]]="",Table1[[#This Row],[Interview_Date]]=""),"",Table1[[#This Row],[Offer_Date]]-Table1[[#This Row],[Interview_Date]])</f>
        <v/>
      </c>
    </row>
    <row r="881" spans="1:2" x14ac:dyDescent="0.3">
      <c r="A881">
        <f>Table1[[#This Row],[Interview_Date]]-Table1[[#This Row],[Application_Date]]</f>
        <v>11</v>
      </c>
      <c r="B881">
        <f>IF(OR(Table1[[#This Row],[Offer_Date]]="",Table1[[#This Row],[Interview_Date]]=""),"",Table1[[#This Row],[Offer_Date]]-Table1[[#This Row],[Interview_Date]])</f>
        <v>3</v>
      </c>
    </row>
    <row r="882" spans="1:2" x14ac:dyDescent="0.3">
      <c r="A882">
        <f>Table1[[#This Row],[Interview_Date]]-Table1[[#This Row],[Application_Date]]</f>
        <v>4</v>
      </c>
      <c r="B882" t="str">
        <f>IF(OR(Table1[[#This Row],[Offer_Date]]="",Table1[[#This Row],[Interview_Date]]=""),"",Table1[[#This Row],[Offer_Date]]-Table1[[#This Row],[Interview_Date]])</f>
        <v/>
      </c>
    </row>
    <row r="883" spans="1:2" x14ac:dyDescent="0.3">
      <c r="A883">
        <f>Table1[[#This Row],[Interview_Date]]-Table1[[#This Row],[Application_Date]]</f>
        <v>13</v>
      </c>
      <c r="B883">
        <f>IF(OR(Table1[[#This Row],[Offer_Date]]="",Table1[[#This Row],[Interview_Date]]=""),"",Table1[[#This Row],[Offer_Date]]-Table1[[#This Row],[Interview_Date]])</f>
        <v>2</v>
      </c>
    </row>
    <row r="884" spans="1:2" x14ac:dyDescent="0.3">
      <c r="A884">
        <f>Table1[[#This Row],[Interview_Date]]-Table1[[#This Row],[Application_Date]]</f>
        <v>13</v>
      </c>
      <c r="B884">
        <f>IF(OR(Table1[[#This Row],[Offer_Date]]="",Table1[[#This Row],[Interview_Date]]=""),"",Table1[[#This Row],[Offer_Date]]-Table1[[#This Row],[Interview_Date]])</f>
        <v>3</v>
      </c>
    </row>
    <row r="885" spans="1:2" x14ac:dyDescent="0.3">
      <c r="A885">
        <f>Table1[[#This Row],[Interview_Date]]-Table1[[#This Row],[Application_Date]]</f>
        <v>7</v>
      </c>
      <c r="B885" t="str">
        <f>IF(OR(Table1[[#This Row],[Offer_Date]]="",Table1[[#This Row],[Interview_Date]]=""),"",Table1[[#This Row],[Offer_Date]]-Table1[[#This Row],[Interview_Date]])</f>
        <v/>
      </c>
    </row>
    <row r="886" spans="1:2" x14ac:dyDescent="0.3">
      <c r="A886">
        <f>Table1[[#This Row],[Interview_Date]]-Table1[[#This Row],[Application_Date]]</f>
        <v>12</v>
      </c>
      <c r="B886">
        <f>IF(OR(Table1[[#This Row],[Offer_Date]]="",Table1[[#This Row],[Interview_Date]]=""),"",Table1[[#This Row],[Offer_Date]]-Table1[[#This Row],[Interview_Date]])</f>
        <v>6</v>
      </c>
    </row>
    <row r="887" spans="1:2" x14ac:dyDescent="0.3">
      <c r="A887">
        <f>Table1[[#This Row],[Interview_Date]]-Table1[[#This Row],[Application_Date]]</f>
        <v>10</v>
      </c>
      <c r="B887" t="str">
        <f>IF(OR(Table1[[#This Row],[Offer_Date]]="",Table1[[#This Row],[Interview_Date]]=""),"",Table1[[#This Row],[Offer_Date]]-Table1[[#This Row],[Interview_Date]])</f>
        <v/>
      </c>
    </row>
    <row r="888" spans="1:2" x14ac:dyDescent="0.3">
      <c r="A888">
        <f>Table1[[#This Row],[Interview_Date]]-Table1[[#This Row],[Application_Date]]</f>
        <v>11</v>
      </c>
      <c r="B888">
        <f>IF(OR(Table1[[#This Row],[Offer_Date]]="",Table1[[#This Row],[Interview_Date]]=""),"",Table1[[#This Row],[Offer_Date]]-Table1[[#This Row],[Interview_Date]])</f>
        <v>2</v>
      </c>
    </row>
    <row r="889" spans="1:2" x14ac:dyDescent="0.3">
      <c r="A889">
        <f>Table1[[#This Row],[Interview_Date]]-Table1[[#This Row],[Application_Date]]</f>
        <v>8</v>
      </c>
      <c r="B889" t="str">
        <f>IF(OR(Table1[[#This Row],[Offer_Date]]="",Table1[[#This Row],[Interview_Date]]=""),"",Table1[[#This Row],[Offer_Date]]-Table1[[#This Row],[Interview_Date]])</f>
        <v/>
      </c>
    </row>
    <row r="890" spans="1:2" x14ac:dyDescent="0.3">
      <c r="A890">
        <f>Table1[[#This Row],[Interview_Date]]-Table1[[#This Row],[Application_Date]]</f>
        <v>10</v>
      </c>
      <c r="B890" t="str">
        <f>IF(OR(Table1[[#This Row],[Offer_Date]]="",Table1[[#This Row],[Interview_Date]]=""),"",Table1[[#This Row],[Offer_Date]]-Table1[[#This Row],[Interview_Date]])</f>
        <v/>
      </c>
    </row>
    <row r="891" spans="1:2" x14ac:dyDescent="0.3">
      <c r="A891">
        <f>Table1[[#This Row],[Interview_Date]]-Table1[[#This Row],[Application_Date]]</f>
        <v>15</v>
      </c>
      <c r="B891">
        <f>IF(OR(Table1[[#This Row],[Offer_Date]]="",Table1[[#This Row],[Interview_Date]]=""),"",Table1[[#This Row],[Offer_Date]]-Table1[[#This Row],[Interview_Date]])</f>
        <v>7</v>
      </c>
    </row>
    <row r="892" spans="1:2" x14ac:dyDescent="0.3">
      <c r="A892">
        <f>Table1[[#This Row],[Interview_Date]]-Table1[[#This Row],[Application_Date]]</f>
        <v>14</v>
      </c>
      <c r="B892" t="str">
        <f>IF(OR(Table1[[#This Row],[Offer_Date]]="",Table1[[#This Row],[Interview_Date]]=""),"",Table1[[#This Row],[Offer_Date]]-Table1[[#This Row],[Interview_Date]])</f>
        <v/>
      </c>
    </row>
    <row r="893" spans="1:2" x14ac:dyDescent="0.3">
      <c r="A893">
        <f>Table1[[#This Row],[Interview_Date]]-Table1[[#This Row],[Application_Date]]</f>
        <v>11</v>
      </c>
      <c r="B893" t="str">
        <f>IF(OR(Table1[[#This Row],[Offer_Date]]="",Table1[[#This Row],[Interview_Date]]=""),"",Table1[[#This Row],[Offer_Date]]-Table1[[#This Row],[Interview_Date]])</f>
        <v/>
      </c>
    </row>
    <row r="894" spans="1:2" x14ac:dyDescent="0.3">
      <c r="A894">
        <f>Table1[[#This Row],[Interview_Date]]-Table1[[#This Row],[Application_Date]]</f>
        <v>8</v>
      </c>
      <c r="B894">
        <f>IF(OR(Table1[[#This Row],[Offer_Date]]="",Table1[[#This Row],[Interview_Date]]=""),"",Table1[[#This Row],[Offer_Date]]-Table1[[#This Row],[Interview_Date]])</f>
        <v>2</v>
      </c>
    </row>
    <row r="895" spans="1:2" x14ac:dyDescent="0.3">
      <c r="A895">
        <f>Table1[[#This Row],[Interview_Date]]-Table1[[#This Row],[Application_Date]]</f>
        <v>8</v>
      </c>
      <c r="B895">
        <f>IF(OR(Table1[[#This Row],[Offer_Date]]="",Table1[[#This Row],[Interview_Date]]=""),"",Table1[[#This Row],[Offer_Date]]-Table1[[#This Row],[Interview_Date]])</f>
        <v>3</v>
      </c>
    </row>
    <row r="896" spans="1:2" x14ac:dyDescent="0.3">
      <c r="A896">
        <f>Table1[[#This Row],[Interview_Date]]-Table1[[#This Row],[Application_Date]]</f>
        <v>12</v>
      </c>
      <c r="B896" t="str">
        <f>IF(OR(Table1[[#This Row],[Offer_Date]]="",Table1[[#This Row],[Interview_Date]]=""),"",Table1[[#This Row],[Offer_Date]]-Table1[[#This Row],[Interview_Date]])</f>
        <v/>
      </c>
    </row>
    <row r="897" spans="1:2" x14ac:dyDescent="0.3">
      <c r="A897">
        <f>Table1[[#This Row],[Interview_Date]]-Table1[[#This Row],[Application_Date]]</f>
        <v>6</v>
      </c>
      <c r="B897" t="str">
        <f>IF(OR(Table1[[#This Row],[Offer_Date]]="",Table1[[#This Row],[Interview_Date]]=""),"",Table1[[#This Row],[Offer_Date]]-Table1[[#This Row],[Interview_Date]])</f>
        <v/>
      </c>
    </row>
    <row r="898" spans="1:2" x14ac:dyDescent="0.3">
      <c r="A898">
        <f>Table1[[#This Row],[Interview_Date]]-Table1[[#This Row],[Application_Date]]</f>
        <v>15</v>
      </c>
      <c r="B898">
        <f>IF(OR(Table1[[#This Row],[Offer_Date]]="",Table1[[#This Row],[Interview_Date]]=""),"",Table1[[#This Row],[Offer_Date]]-Table1[[#This Row],[Interview_Date]])</f>
        <v>3</v>
      </c>
    </row>
    <row r="899" spans="1:2" x14ac:dyDescent="0.3">
      <c r="A899">
        <f>Table1[[#This Row],[Interview_Date]]-Table1[[#This Row],[Application_Date]]</f>
        <v>14</v>
      </c>
      <c r="B899" t="str">
        <f>IF(OR(Table1[[#This Row],[Offer_Date]]="",Table1[[#This Row],[Interview_Date]]=""),"",Table1[[#This Row],[Offer_Date]]-Table1[[#This Row],[Interview_Date]])</f>
        <v/>
      </c>
    </row>
    <row r="900" spans="1:2" x14ac:dyDescent="0.3">
      <c r="A900">
        <f>Table1[[#This Row],[Interview_Date]]-Table1[[#This Row],[Application_Date]]</f>
        <v>11</v>
      </c>
      <c r="B900">
        <f>IF(OR(Table1[[#This Row],[Offer_Date]]="",Table1[[#This Row],[Interview_Date]]=""),"",Table1[[#This Row],[Offer_Date]]-Table1[[#This Row],[Interview_Date]])</f>
        <v>6</v>
      </c>
    </row>
    <row r="901" spans="1:2" x14ac:dyDescent="0.3">
      <c r="A901">
        <f>Table1[[#This Row],[Interview_Date]]-Table1[[#This Row],[Application_Date]]</f>
        <v>7</v>
      </c>
      <c r="B901" t="str">
        <f>IF(OR(Table1[[#This Row],[Offer_Date]]="",Table1[[#This Row],[Interview_Date]]=""),"",Table1[[#This Row],[Offer_Date]]-Table1[[#This Row],[Interview_Date]])</f>
        <v/>
      </c>
    </row>
    <row r="902" spans="1:2" x14ac:dyDescent="0.3">
      <c r="A902">
        <f>Table1[[#This Row],[Interview_Date]]-Table1[[#This Row],[Application_Date]]</f>
        <v>5</v>
      </c>
      <c r="B902">
        <f>IF(OR(Table1[[#This Row],[Offer_Date]]="",Table1[[#This Row],[Interview_Date]]=""),"",Table1[[#This Row],[Offer_Date]]-Table1[[#This Row],[Interview_Date]])</f>
        <v>3</v>
      </c>
    </row>
    <row r="903" spans="1:2" x14ac:dyDescent="0.3">
      <c r="A903">
        <f>Table1[[#This Row],[Interview_Date]]-Table1[[#This Row],[Application_Date]]</f>
        <v>9</v>
      </c>
      <c r="B903">
        <f>IF(OR(Table1[[#This Row],[Offer_Date]]="",Table1[[#This Row],[Interview_Date]]=""),"",Table1[[#This Row],[Offer_Date]]-Table1[[#This Row],[Interview_Date]])</f>
        <v>4</v>
      </c>
    </row>
    <row r="904" spans="1:2" x14ac:dyDescent="0.3">
      <c r="A904">
        <f>Table1[[#This Row],[Interview_Date]]-Table1[[#This Row],[Application_Date]]</f>
        <v>12</v>
      </c>
      <c r="B904">
        <f>IF(OR(Table1[[#This Row],[Offer_Date]]="",Table1[[#This Row],[Interview_Date]]=""),"",Table1[[#This Row],[Offer_Date]]-Table1[[#This Row],[Interview_Date]])</f>
        <v>5</v>
      </c>
    </row>
    <row r="905" spans="1:2" x14ac:dyDescent="0.3">
      <c r="A905">
        <f>Table1[[#This Row],[Interview_Date]]-Table1[[#This Row],[Application_Date]]</f>
        <v>12</v>
      </c>
      <c r="B905">
        <f>IF(OR(Table1[[#This Row],[Offer_Date]]="",Table1[[#This Row],[Interview_Date]]=""),"",Table1[[#This Row],[Offer_Date]]-Table1[[#This Row],[Interview_Date]])</f>
        <v>7</v>
      </c>
    </row>
    <row r="906" spans="1:2" x14ac:dyDescent="0.3">
      <c r="A906">
        <f>Table1[[#This Row],[Interview_Date]]-Table1[[#This Row],[Application_Date]]</f>
        <v>12</v>
      </c>
      <c r="B906">
        <f>IF(OR(Table1[[#This Row],[Offer_Date]]="",Table1[[#This Row],[Interview_Date]]=""),"",Table1[[#This Row],[Offer_Date]]-Table1[[#This Row],[Interview_Date]])</f>
        <v>2</v>
      </c>
    </row>
    <row r="907" spans="1:2" x14ac:dyDescent="0.3">
      <c r="A907">
        <f>Table1[[#This Row],[Interview_Date]]-Table1[[#This Row],[Application_Date]]</f>
        <v>12</v>
      </c>
      <c r="B907" t="str">
        <f>IF(OR(Table1[[#This Row],[Offer_Date]]="",Table1[[#This Row],[Interview_Date]]=""),"",Table1[[#This Row],[Offer_Date]]-Table1[[#This Row],[Interview_Date]])</f>
        <v/>
      </c>
    </row>
    <row r="908" spans="1:2" x14ac:dyDescent="0.3">
      <c r="A908">
        <f>Table1[[#This Row],[Interview_Date]]-Table1[[#This Row],[Application_Date]]</f>
        <v>9</v>
      </c>
      <c r="B908" t="str">
        <f>IF(OR(Table1[[#This Row],[Offer_Date]]="",Table1[[#This Row],[Interview_Date]]=""),"",Table1[[#This Row],[Offer_Date]]-Table1[[#This Row],[Interview_Date]])</f>
        <v/>
      </c>
    </row>
    <row r="909" spans="1:2" x14ac:dyDescent="0.3">
      <c r="A909">
        <f>Table1[[#This Row],[Interview_Date]]-Table1[[#This Row],[Application_Date]]</f>
        <v>10</v>
      </c>
      <c r="B909" t="str">
        <f>IF(OR(Table1[[#This Row],[Offer_Date]]="",Table1[[#This Row],[Interview_Date]]=""),"",Table1[[#This Row],[Offer_Date]]-Table1[[#This Row],[Interview_Date]])</f>
        <v/>
      </c>
    </row>
    <row r="910" spans="1:2" x14ac:dyDescent="0.3">
      <c r="A910">
        <f>Table1[[#This Row],[Interview_Date]]-Table1[[#This Row],[Application_Date]]</f>
        <v>8</v>
      </c>
      <c r="B910" t="str">
        <f>IF(OR(Table1[[#This Row],[Offer_Date]]="",Table1[[#This Row],[Interview_Date]]=""),"",Table1[[#This Row],[Offer_Date]]-Table1[[#This Row],[Interview_Date]])</f>
        <v/>
      </c>
    </row>
    <row r="911" spans="1:2" x14ac:dyDescent="0.3">
      <c r="A911">
        <f>Table1[[#This Row],[Interview_Date]]-Table1[[#This Row],[Application_Date]]</f>
        <v>15</v>
      </c>
      <c r="B911">
        <f>IF(OR(Table1[[#This Row],[Offer_Date]]="",Table1[[#This Row],[Interview_Date]]=""),"",Table1[[#This Row],[Offer_Date]]-Table1[[#This Row],[Interview_Date]])</f>
        <v>4</v>
      </c>
    </row>
    <row r="912" spans="1:2" x14ac:dyDescent="0.3">
      <c r="A912">
        <f>Table1[[#This Row],[Interview_Date]]-Table1[[#This Row],[Application_Date]]</f>
        <v>3</v>
      </c>
      <c r="B912">
        <f>IF(OR(Table1[[#This Row],[Offer_Date]]="",Table1[[#This Row],[Interview_Date]]=""),"",Table1[[#This Row],[Offer_Date]]-Table1[[#This Row],[Interview_Date]])</f>
        <v>2</v>
      </c>
    </row>
    <row r="913" spans="1:2" x14ac:dyDescent="0.3">
      <c r="A913">
        <f>Table1[[#This Row],[Interview_Date]]-Table1[[#This Row],[Application_Date]]</f>
        <v>5</v>
      </c>
      <c r="B913">
        <f>IF(OR(Table1[[#This Row],[Offer_Date]]="",Table1[[#This Row],[Interview_Date]]=""),"",Table1[[#This Row],[Offer_Date]]-Table1[[#This Row],[Interview_Date]])</f>
        <v>5</v>
      </c>
    </row>
    <row r="914" spans="1:2" x14ac:dyDescent="0.3">
      <c r="A914">
        <f>Table1[[#This Row],[Interview_Date]]-Table1[[#This Row],[Application_Date]]</f>
        <v>13</v>
      </c>
      <c r="B914" t="str">
        <f>IF(OR(Table1[[#This Row],[Offer_Date]]="",Table1[[#This Row],[Interview_Date]]=""),"",Table1[[#This Row],[Offer_Date]]-Table1[[#This Row],[Interview_Date]])</f>
        <v/>
      </c>
    </row>
    <row r="915" spans="1:2" x14ac:dyDescent="0.3">
      <c r="A915">
        <f>Table1[[#This Row],[Interview_Date]]-Table1[[#This Row],[Application_Date]]</f>
        <v>7</v>
      </c>
      <c r="B915" t="str">
        <f>IF(OR(Table1[[#This Row],[Offer_Date]]="",Table1[[#This Row],[Interview_Date]]=""),"",Table1[[#This Row],[Offer_Date]]-Table1[[#This Row],[Interview_Date]])</f>
        <v/>
      </c>
    </row>
    <row r="916" spans="1:2" x14ac:dyDescent="0.3">
      <c r="A916">
        <f>Table1[[#This Row],[Interview_Date]]-Table1[[#This Row],[Application_Date]]</f>
        <v>6</v>
      </c>
      <c r="B916" t="str">
        <f>IF(OR(Table1[[#This Row],[Offer_Date]]="",Table1[[#This Row],[Interview_Date]]=""),"",Table1[[#This Row],[Offer_Date]]-Table1[[#This Row],[Interview_Date]])</f>
        <v/>
      </c>
    </row>
    <row r="917" spans="1:2" x14ac:dyDescent="0.3">
      <c r="A917">
        <f>Table1[[#This Row],[Interview_Date]]-Table1[[#This Row],[Application_Date]]</f>
        <v>12</v>
      </c>
      <c r="B917" t="str">
        <f>IF(OR(Table1[[#This Row],[Offer_Date]]="",Table1[[#This Row],[Interview_Date]]=""),"",Table1[[#This Row],[Offer_Date]]-Table1[[#This Row],[Interview_Date]])</f>
        <v/>
      </c>
    </row>
    <row r="918" spans="1:2" x14ac:dyDescent="0.3">
      <c r="A918">
        <f>Table1[[#This Row],[Interview_Date]]-Table1[[#This Row],[Application_Date]]</f>
        <v>5</v>
      </c>
      <c r="B918">
        <f>IF(OR(Table1[[#This Row],[Offer_Date]]="",Table1[[#This Row],[Interview_Date]]=""),"",Table1[[#This Row],[Offer_Date]]-Table1[[#This Row],[Interview_Date]])</f>
        <v>3</v>
      </c>
    </row>
    <row r="919" spans="1:2" x14ac:dyDescent="0.3">
      <c r="A919">
        <f>Table1[[#This Row],[Interview_Date]]-Table1[[#This Row],[Application_Date]]</f>
        <v>3</v>
      </c>
      <c r="B919" t="str">
        <f>IF(OR(Table1[[#This Row],[Offer_Date]]="",Table1[[#This Row],[Interview_Date]]=""),"",Table1[[#This Row],[Offer_Date]]-Table1[[#This Row],[Interview_Date]])</f>
        <v/>
      </c>
    </row>
    <row r="920" spans="1:2" x14ac:dyDescent="0.3">
      <c r="A920">
        <f>Table1[[#This Row],[Interview_Date]]-Table1[[#This Row],[Application_Date]]</f>
        <v>4</v>
      </c>
      <c r="B920">
        <f>IF(OR(Table1[[#This Row],[Offer_Date]]="",Table1[[#This Row],[Interview_Date]]=""),"",Table1[[#This Row],[Offer_Date]]-Table1[[#This Row],[Interview_Date]])</f>
        <v>4</v>
      </c>
    </row>
    <row r="921" spans="1:2" x14ac:dyDescent="0.3">
      <c r="A921">
        <f>Table1[[#This Row],[Interview_Date]]-Table1[[#This Row],[Application_Date]]</f>
        <v>6</v>
      </c>
      <c r="B921" t="str">
        <f>IF(OR(Table1[[#This Row],[Offer_Date]]="",Table1[[#This Row],[Interview_Date]]=""),"",Table1[[#This Row],[Offer_Date]]-Table1[[#This Row],[Interview_Date]])</f>
        <v/>
      </c>
    </row>
    <row r="922" spans="1:2" x14ac:dyDescent="0.3">
      <c r="A922">
        <f>Table1[[#This Row],[Interview_Date]]-Table1[[#This Row],[Application_Date]]</f>
        <v>9</v>
      </c>
      <c r="B922">
        <f>IF(OR(Table1[[#This Row],[Offer_Date]]="",Table1[[#This Row],[Interview_Date]]=""),"",Table1[[#This Row],[Offer_Date]]-Table1[[#This Row],[Interview_Date]])</f>
        <v>4</v>
      </c>
    </row>
    <row r="923" spans="1:2" x14ac:dyDescent="0.3">
      <c r="A923">
        <f>Table1[[#This Row],[Interview_Date]]-Table1[[#This Row],[Application_Date]]</f>
        <v>6</v>
      </c>
      <c r="B923">
        <f>IF(OR(Table1[[#This Row],[Offer_Date]]="",Table1[[#This Row],[Interview_Date]]=""),"",Table1[[#This Row],[Offer_Date]]-Table1[[#This Row],[Interview_Date]])</f>
        <v>6</v>
      </c>
    </row>
    <row r="924" spans="1:2" x14ac:dyDescent="0.3">
      <c r="A924">
        <f>Table1[[#This Row],[Interview_Date]]-Table1[[#This Row],[Application_Date]]</f>
        <v>8</v>
      </c>
      <c r="B924" t="str">
        <f>IF(OR(Table1[[#This Row],[Offer_Date]]="",Table1[[#This Row],[Interview_Date]]=""),"",Table1[[#This Row],[Offer_Date]]-Table1[[#This Row],[Interview_Date]])</f>
        <v/>
      </c>
    </row>
    <row r="925" spans="1:2" x14ac:dyDescent="0.3">
      <c r="A925">
        <f>Table1[[#This Row],[Interview_Date]]-Table1[[#This Row],[Application_Date]]</f>
        <v>10</v>
      </c>
      <c r="B925">
        <f>IF(OR(Table1[[#This Row],[Offer_Date]]="",Table1[[#This Row],[Interview_Date]]=""),"",Table1[[#This Row],[Offer_Date]]-Table1[[#This Row],[Interview_Date]])</f>
        <v>6</v>
      </c>
    </row>
    <row r="926" spans="1:2" x14ac:dyDescent="0.3">
      <c r="A926">
        <f>Table1[[#This Row],[Interview_Date]]-Table1[[#This Row],[Application_Date]]</f>
        <v>9</v>
      </c>
      <c r="B926">
        <f>IF(OR(Table1[[#This Row],[Offer_Date]]="",Table1[[#This Row],[Interview_Date]]=""),"",Table1[[#This Row],[Offer_Date]]-Table1[[#This Row],[Interview_Date]])</f>
        <v>6</v>
      </c>
    </row>
    <row r="927" spans="1:2" x14ac:dyDescent="0.3">
      <c r="A927">
        <f>Table1[[#This Row],[Interview_Date]]-Table1[[#This Row],[Application_Date]]</f>
        <v>10</v>
      </c>
      <c r="B927" t="str">
        <f>IF(OR(Table1[[#This Row],[Offer_Date]]="",Table1[[#This Row],[Interview_Date]]=""),"",Table1[[#This Row],[Offer_Date]]-Table1[[#This Row],[Interview_Date]])</f>
        <v/>
      </c>
    </row>
    <row r="928" spans="1:2" x14ac:dyDescent="0.3">
      <c r="A928">
        <f>Table1[[#This Row],[Interview_Date]]-Table1[[#This Row],[Application_Date]]</f>
        <v>8</v>
      </c>
      <c r="B928" t="str">
        <f>IF(OR(Table1[[#This Row],[Offer_Date]]="",Table1[[#This Row],[Interview_Date]]=""),"",Table1[[#This Row],[Offer_Date]]-Table1[[#This Row],[Interview_Date]])</f>
        <v/>
      </c>
    </row>
    <row r="929" spans="1:2" x14ac:dyDescent="0.3">
      <c r="A929">
        <f>Table1[[#This Row],[Interview_Date]]-Table1[[#This Row],[Application_Date]]</f>
        <v>10</v>
      </c>
      <c r="B929">
        <f>IF(OR(Table1[[#This Row],[Offer_Date]]="",Table1[[#This Row],[Interview_Date]]=""),"",Table1[[#This Row],[Offer_Date]]-Table1[[#This Row],[Interview_Date]])</f>
        <v>7</v>
      </c>
    </row>
    <row r="930" spans="1:2" x14ac:dyDescent="0.3">
      <c r="A930">
        <f>Table1[[#This Row],[Interview_Date]]-Table1[[#This Row],[Application_Date]]</f>
        <v>9</v>
      </c>
      <c r="B930">
        <f>IF(OR(Table1[[#This Row],[Offer_Date]]="",Table1[[#This Row],[Interview_Date]]=""),"",Table1[[#This Row],[Offer_Date]]-Table1[[#This Row],[Interview_Date]])</f>
        <v>4</v>
      </c>
    </row>
    <row r="931" spans="1:2" x14ac:dyDescent="0.3">
      <c r="A931">
        <f>Table1[[#This Row],[Interview_Date]]-Table1[[#This Row],[Application_Date]]</f>
        <v>15</v>
      </c>
      <c r="B931" t="str">
        <f>IF(OR(Table1[[#This Row],[Offer_Date]]="",Table1[[#This Row],[Interview_Date]]=""),"",Table1[[#This Row],[Offer_Date]]-Table1[[#This Row],[Interview_Date]])</f>
        <v/>
      </c>
    </row>
    <row r="932" spans="1:2" x14ac:dyDescent="0.3">
      <c r="A932">
        <f>Table1[[#This Row],[Interview_Date]]-Table1[[#This Row],[Application_Date]]</f>
        <v>8</v>
      </c>
      <c r="B932">
        <f>IF(OR(Table1[[#This Row],[Offer_Date]]="",Table1[[#This Row],[Interview_Date]]=""),"",Table1[[#This Row],[Offer_Date]]-Table1[[#This Row],[Interview_Date]])</f>
        <v>6</v>
      </c>
    </row>
    <row r="933" spans="1:2" x14ac:dyDescent="0.3">
      <c r="A933">
        <f>Table1[[#This Row],[Interview_Date]]-Table1[[#This Row],[Application_Date]]</f>
        <v>5</v>
      </c>
      <c r="B933" t="str">
        <f>IF(OR(Table1[[#This Row],[Offer_Date]]="",Table1[[#This Row],[Interview_Date]]=""),"",Table1[[#This Row],[Offer_Date]]-Table1[[#This Row],[Interview_Date]])</f>
        <v/>
      </c>
    </row>
    <row r="934" spans="1:2" x14ac:dyDescent="0.3">
      <c r="A934">
        <f>Table1[[#This Row],[Interview_Date]]-Table1[[#This Row],[Application_Date]]</f>
        <v>4</v>
      </c>
      <c r="B934">
        <f>IF(OR(Table1[[#This Row],[Offer_Date]]="",Table1[[#This Row],[Interview_Date]]=""),"",Table1[[#This Row],[Offer_Date]]-Table1[[#This Row],[Interview_Date]])</f>
        <v>4</v>
      </c>
    </row>
    <row r="935" spans="1:2" x14ac:dyDescent="0.3">
      <c r="A935">
        <f>Table1[[#This Row],[Interview_Date]]-Table1[[#This Row],[Application_Date]]</f>
        <v>10</v>
      </c>
      <c r="B935" t="str">
        <f>IF(OR(Table1[[#This Row],[Offer_Date]]="",Table1[[#This Row],[Interview_Date]]=""),"",Table1[[#This Row],[Offer_Date]]-Table1[[#This Row],[Interview_Date]])</f>
        <v/>
      </c>
    </row>
    <row r="936" spans="1:2" x14ac:dyDescent="0.3">
      <c r="A936">
        <f>Table1[[#This Row],[Interview_Date]]-Table1[[#This Row],[Application_Date]]</f>
        <v>11</v>
      </c>
      <c r="B936" t="str">
        <f>IF(OR(Table1[[#This Row],[Offer_Date]]="",Table1[[#This Row],[Interview_Date]]=""),"",Table1[[#This Row],[Offer_Date]]-Table1[[#This Row],[Interview_Date]])</f>
        <v/>
      </c>
    </row>
    <row r="937" spans="1:2" x14ac:dyDescent="0.3">
      <c r="A937">
        <f>Table1[[#This Row],[Interview_Date]]-Table1[[#This Row],[Application_Date]]</f>
        <v>9</v>
      </c>
      <c r="B937">
        <f>IF(OR(Table1[[#This Row],[Offer_Date]]="",Table1[[#This Row],[Interview_Date]]=""),"",Table1[[#This Row],[Offer_Date]]-Table1[[#This Row],[Interview_Date]])</f>
        <v>6</v>
      </c>
    </row>
    <row r="938" spans="1:2" x14ac:dyDescent="0.3">
      <c r="A938">
        <f>Table1[[#This Row],[Interview_Date]]-Table1[[#This Row],[Application_Date]]</f>
        <v>9</v>
      </c>
      <c r="B938" t="str">
        <f>IF(OR(Table1[[#This Row],[Offer_Date]]="",Table1[[#This Row],[Interview_Date]]=""),"",Table1[[#This Row],[Offer_Date]]-Table1[[#This Row],[Interview_Date]])</f>
        <v/>
      </c>
    </row>
    <row r="939" spans="1:2" x14ac:dyDescent="0.3">
      <c r="A939">
        <f>Table1[[#This Row],[Interview_Date]]-Table1[[#This Row],[Application_Date]]</f>
        <v>6</v>
      </c>
      <c r="B939" t="str">
        <f>IF(OR(Table1[[#This Row],[Offer_Date]]="",Table1[[#This Row],[Interview_Date]]=""),"",Table1[[#This Row],[Offer_Date]]-Table1[[#This Row],[Interview_Date]])</f>
        <v/>
      </c>
    </row>
    <row r="940" spans="1:2" x14ac:dyDescent="0.3">
      <c r="A940">
        <f>Table1[[#This Row],[Interview_Date]]-Table1[[#This Row],[Application_Date]]</f>
        <v>9</v>
      </c>
      <c r="B940" t="str">
        <f>IF(OR(Table1[[#This Row],[Offer_Date]]="",Table1[[#This Row],[Interview_Date]]=""),"",Table1[[#This Row],[Offer_Date]]-Table1[[#This Row],[Interview_Date]])</f>
        <v/>
      </c>
    </row>
    <row r="941" spans="1:2" x14ac:dyDescent="0.3">
      <c r="A941">
        <f>Table1[[#This Row],[Interview_Date]]-Table1[[#This Row],[Application_Date]]</f>
        <v>12</v>
      </c>
      <c r="B941">
        <f>IF(OR(Table1[[#This Row],[Offer_Date]]="",Table1[[#This Row],[Interview_Date]]=""),"",Table1[[#This Row],[Offer_Date]]-Table1[[#This Row],[Interview_Date]])</f>
        <v>5</v>
      </c>
    </row>
    <row r="942" spans="1:2" x14ac:dyDescent="0.3">
      <c r="A942">
        <f>Table1[[#This Row],[Interview_Date]]-Table1[[#This Row],[Application_Date]]</f>
        <v>6</v>
      </c>
      <c r="B942">
        <f>IF(OR(Table1[[#This Row],[Offer_Date]]="",Table1[[#This Row],[Interview_Date]]=""),"",Table1[[#This Row],[Offer_Date]]-Table1[[#This Row],[Interview_Date]])</f>
        <v>7</v>
      </c>
    </row>
    <row r="943" spans="1:2" x14ac:dyDescent="0.3">
      <c r="A943">
        <f>Table1[[#This Row],[Interview_Date]]-Table1[[#This Row],[Application_Date]]</f>
        <v>3</v>
      </c>
      <c r="B943" t="str">
        <f>IF(OR(Table1[[#This Row],[Offer_Date]]="",Table1[[#This Row],[Interview_Date]]=""),"",Table1[[#This Row],[Offer_Date]]-Table1[[#This Row],[Interview_Date]])</f>
        <v/>
      </c>
    </row>
    <row r="944" spans="1:2" x14ac:dyDescent="0.3">
      <c r="A944">
        <f>Table1[[#This Row],[Interview_Date]]-Table1[[#This Row],[Application_Date]]</f>
        <v>7</v>
      </c>
      <c r="B944" t="str">
        <f>IF(OR(Table1[[#This Row],[Offer_Date]]="",Table1[[#This Row],[Interview_Date]]=""),"",Table1[[#This Row],[Offer_Date]]-Table1[[#This Row],[Interview_Date]])</f>
        <v/>
      </c>
    </row>
    <row r="945" spans="1:2" x14ac:dyDescent="0.3">
      <c r="A945">
        <f>Table1[[#This Row],[Interview_Date]]-Table1[[#This Row],[Application_Date]]</f>
        <v>7</v>
      </c>
      <c r="B945" t="str">
        <f>IF(OR(Table1[[#This Row],[Offer_Date]]="",Table1[[#This Row],[Interview_Date]]=""),"",Table1[[#This Row],[Offer_Date]]-Table1[[#This Row],[Interview_Date]])</f>
        <v/>
      </c>
    </row>
    <row r="946" spans="1:2" x14ac:dyDescent="0.3">
      <c r="A946">
        <f>Table1[[#This Row],[Interview_Date]]-Table1[[#This Row],[Application_Date]]</f>
        <v>12</v>
      </c>
      <c r="B946" t="str">
        <f>IF(OR(Table1[[#This Row],[Offer_Date]]="",Table1[[#This Row],[Interview_Date]]=""),"",Table1[[#This Row],[Offer_Date]]-Table1[[#This Row],[Interview_Date]])</f>
        <v/>
      </c>
    </row>
    <row r="947" spans="1:2" x14ac:dyDescent="0.3">
      <c r="A947">
        <f>Table1[[#This Row],[Interview_Date]]-Table1[[#This Row],[Application_Date]]</f>
        <v>14</v>
      </c>
      <c r="B947">
        <f>IF(OR(Table1[[#This Row],[Offer_Date]]="",Table1[[#This Row],[Interview_Date]]=""),"",Table1[[#This Row],[Offer_Date]]-Table1[[#This Row],[Interview_Date]])</f>
        <v>3</v>
      </c>
    </row>
    <row r="948" spans="1:2" x14ac:dyDescent="0.3">
      <c r="A948">
        <f>Table1[[#This Row],[Interview_Date]]-Table1[[#This Row],[Application_Date]]</f>
        <v>7</v>
      </c>
      <c r="B948">
        <f>IF(OR(Table1[[#This Row],[Offer_Date]]="",Table1[[#This Row],[Interview_Date]]=""),"",Table1[[#This Row],[Offer_Date]]-Table1[[#This Row],[Interview_Date]])</f>
        <v>3</v>
      </c>
    </row>
    <row r="949" spans="1:2" x14ac:dyDescent="0.3">
      <c r="A949">
        <f>Table1[[#This Row],[Interview_Date]]-Table1[[#This Row],[Application_Date]]</f>
        <v>4</v>
      </c>
      <c r="B949" t="str">
        <f>IF(OR(Table1[[#This Row],[Offer_Date]]="",Table1[[#This Row],[Interview_Date]]=""),"",Table1[[#This Row],[Offer_Date]]-Table1[[#This Row],[Interview_Date]])</f>
        <v/>
      </c>
    </row>
    <row r="950" spans="1:2" x14ac:dyDescent="0.3">
      <c r="A950">
        <f>Table1[[#This Row],[Interview_Date]]-Table1[[#This Row],[Application_Date]]</f>
        <v>11</v>
      </c>
      <c r="B950" t="str">
        <f>IF(OR(Table1[[#This Row],[Offer_Date]]="",Table1[[#This Row],[Interview_Date]]=""),"",Table1[[#This Row],[Offer_Date]]-Table1[[#This Row],[Interview_Date]])</f>
        <v/>
      </c>
    </row>
    <row r="951" spans="1:2" x14ac:dyDescent="0.3">
      <c r="A951">
        <f>Table1[[#This Row],[Interview_Date]]-Table1[[#This Row],[Application_Date]]</f>
        <v>11</v>
      </c>
      <c r="B951">
        <f>IF(OR(Table1[[#This Row],[Offer_Date]]="",Table1[[#This Row],[Interview_Date]]=""),"",Table1[[#This Row],[Offer_Date]]-Table1[[#This Row],[Interview_Date]])</f>
        <v>3</v>
      </c>
    </row>
    <row r="952" spans="1:2" x14ac:dyDescent="0.3">
      <c r="A952">
        <f>Table1[[#This Row],[Interview_Date]]-Table1[[#This Row],[Application_Date]]</f>
        <v>4</v>
      </c>
      <c r="B952">
        <f>IF(OR(Table1[[#This Row],[Offer_Date]]="",Table1[[#This Row],[Interview_Date]]=""),"",Table1[[#This Row],[Offer_Date]]-Table1[[#This Row],[Interview_Date]])</f>
        <v>2</v>
      </c>
    </row>
    <row r="953" spans="1:2" x14ac:dyDescent="0.3">
      <c r="A953">
        <f>Table1[[#This Row],[Interview_Date]]-Table1[[#This Row],[Application_Date]]</f>
        <v>10</v>
      </c>
      <c r="B953">
        <f>IF(OR(Table1[[#This Row],[Offer_Date]]="",Table1[[#This Row],[Interview_Date]]=""),"",Table1[[#This Row],[Offer_Date]]-Table1[[#This Row],[Interview_Date]])</f>
        <v>4</v>
      </c>
    </row>
    <row r="954" spans="1:2" x14ac:dyDescent="0.3">
      <c r="A954">
        <f>Table1[[#This Row],[Interview_Date]]-Table1[[#This Row],[Application_Date]]</f>
        <v>6</v>
      </c>
      <c r="B954">
        <f>IF(OR(Table1[[#This Row],[Offer_Date]]="",Table1[[#This Row],[Interview_Date]]=""),"",Table1[[#This Row],[Offer_Date]]-Table1[[#This Row],[Interview_Date]])</f>
        <v>6</v>
      </c>
    </row>
    <row r="955" spans="1:2" x14ac:dyDescent="0.3">
      <c r="A955">
        <f>Table1[[#This Row],[Interview_Date]]-Table1[[#This Row],[Application_Date]]</f>
        <v>11</v>
      </c>
      <c r="B955" t="str">
        <f>IF(OR(Table1[[#This Row],[Offer_Date]]="",Table1[[#This Row],[Interview_Date]]=""),"",Table1[[#This Row],[Offer_Date]]-Table1[[#This Row],[Interview_Date]])</f>
        <v/>
      </c>
    </row>
    <row r="956" spans="1:2" x14ac:dyDescent="0.3">
      <c r="A956">
        <f>Table1[[#This Row],[Interview_Date]]-Table1[[#This Row],[Application_Date]]</f>
        <v>14</v>
      </c>
      <c r="B956">
        <f>IF(OR(Table1[[#This Row],[Offer_Date]]="",Table1[[#This Row],[Interview_Date]]=""),"",Table1[[#This Row],[Offer_Date]]-Table1[[#This Row],[Interview_Date]])</f>
        <v>4</v>
      </c>
    </row>
    <row r="957" spans="1:2" x14ac:dyDescent="0.3">
      <c r="A957">
        <f>Table1[[#This Row],[Interview_Date]]-Table1[[#This Row],[Application_Date]]</f>
        <v>14</v>
      </c>
      <c r="B957">
        <f>IF(OR(Table1[[#This Row],[Offer_Date]]="",Table1[[#This Row],[Interview_Date]]=""),"",Table1[[#This Row],[Offer_Date]]-Table1[[#This Row],[Interview_Date]])</f>
        <v>2</v>
      </c>
    </row>
    <row r="958" spans="1:2" x14ac:dyDescent="0.3">
      <c r="A958">
        <f>Table1[[#This Row],[Interview_Date]]-Table1[[#This Row],[Application_Date]]</f>
        <v>13</v>
      </c>
      <c r="B958">
        <f>IF(OR(Table1[[#This Row],[Offer_Date]]="",Table1[[#This Row],[Interview_Date]]=""),"",Table1[[#This Row],[Offer_Date]]-Table1[[#This Row],[Interview_Date]])</f>
        <v>4</v>
      </c>
    </row>
    <row r="959" spans="1:2" x14ac:dyDescent="0.3">
      <c r="A959">
        <f>Table1[[#This Row],[Interview_Date]]-Table1[[#This Row],[Application_Date]]</f>
        <v>8</v>
      </c>
      <c r="B959">
        <f>IF(OR(Table1[[#This Row],[Offer_Date]]="",Table1[[#This Row],[Interview_Date]]=""),"",Table1[[#This Row],[Offer_Date]]-Table1[[#This Row],[Interview_Date]])</f>
        <v>7</v>
      </c>
    </row>
    <row r="960" spans="1:2" x14ac:dyDescent="0.3">
      <c r="A960">
        <f>Table1[[#This Row],[Interview_Date]]-Table1[[#This Row],[Application_Date]]</f>
        <v>6</v>
      </c>
      <c r="B960" t="str">
        <f>IF(OR(Table1[[#This Row],[Offer_Date]]="",Table1[[#This Row],[Interview_Date]]=""),"",Table1[[#This Row],[Offer_Date]]-Table1[[#This Row],[Interview_Date]])</f>
        <v/>
      </c>
    </row>
    <row r="961" spans="1:2" x14ac:dyDescent="0.3">
      <c r="A961">
        <f>Table1[[#This Row],[Interview_Date]]-Table1[[#This Row],[Application_Date]]</f>
        <v>5</v>
      </c>
      <c r="B961">
        <f>IF(OR(Table1[[#This Row],[Offer_Date]]="",Table1[[#This Row],[Interview_Date]]=""),"",Table1[[#This Row],[Offer_Date]]-Table1[[#This Row],[Interview_Date]])</f>
        <v>3</v>
      </c>
    </row>
    <row r="962" spans="1:2" x14ac:dyDescent="0.3">
      <c r="A962">
        <f>Table1[[#This Row],[Interview_Date]]-Table1[[#This Row],[Application_Date]]</f>
        <v>8</v>
      </c>
      <c r="B962" t="str">
        <f>IF(OR(Table1[[#This Row],[Offer_Date]]="",Table1[[#This Row],[Interview_Date]]=""),"",Table1[[#This Row],[Offer_Date]]-Table1[[#This Row],[Interview_Date]])</f>
        <v/>
      </c>
    </row>
    <row r="963" spans="1:2" x14ac:dyDescent="0.3">
      <c r="A963">
        <f>Table1[[#This Row],[Interview_Date]]-Table1[[#This Row],[Application_Date]]</f>
        <v>5</v>
      </c>
      <c r="B963" t="str">
        <f>IF(OR(Table1[[#This Row],[Offer_Date]]="",Table1[[#This Row],[Interview_Date]]=""),"",Table1[[#This Row],[Offer_Date]]-Table1[[#This Row],[Interview_Date]])</f>
        <v/>
      </c>
    </row>
    <row r="964" spans="1:2" x14ac:dyDescent="0.3">
      <c r="A964">
        <f>Table1[[#This Row],[Interview_Date]]-Table1[[#This Row],[Application_Date]]</f>
        <v>12</v>
      </c>
      <c r="B964" t="str">
        <f>IF(OR(Table1[[#This Row],[Offer_Date]]="",Table1[[#This Row],[Interview_Date]]=""),"",Table1[[#This Row],[Offer_Date]]-Table1[[#This Row],[Interview_Date]])</f>
        <v/>
      </c>
    </row>
    <row r="965" spans="1:2" x14ac:dyDescent="0.3">
      <c r="A965">
        <f>Table1[[#This Row],[Interview_Date]]-Table1[[#This Row],[Application_Date]]</f>
        <v>11</v>
      </c>
      <c r="B965" t="str">
        <f>IF(OR(Table1[[#This Row],[Offer_Date]]="",Table1[[#This Row],[Interview_Date]]=""),"",Table1[[#This Row],[Offer_Date]]-Table1[[#This Row],[Interview_Date]])</f>
        <v/>
      </c>
    </row>
    <row r="966" spans="1:2" x14ac:dyDescent="0.3">
      <c r="A966">
        <f>Table1[[#This Row],[Interview_Date]]-Table1[[#This Row],[Application_Date]]</f>
        <v>3</v>
      </c>
      <c r="B966">
        <f>IF(OR(Table1[[#This Row],[Offer_Date]]="",Table1[[#This Row],[Interview_Date]]=""),"",Table1[[#This Row],[Offer_Date]]-Table1[[#This Row],[Interview_Date]])</f>
        <v>5</v>
      </c>
    </row>
    <row r="967" spans="1:2" x14ac:dyDescent="0.3">
      <c r="A967">
        <f>Table1[[#This Row],[Interview_Date]]-Table1[[#This Row],[Application_Date]]</f>
        <v>10</v>
      </c>
      <c r="B967" t="str">
        <f>IF(OR(Table1[[#This Row],[Offer_Date]]="",Table1[[#This Row],[Interview_Date]]=""),"",Table1[[#This Row],[Offer_Date]]-Table1[[#This Row],[Interview_Date]])</f>
        <v/>
      </c>
    </row>
    <row r="968" spans="1:2" x14ac:dyDescent="0.3">
      <c r="A968">
        <f>Table1[[#This Row],[Interview_Date]]-Table1[[#This Row],[Application_Date]]</f>
        <v>3</v>
      </c>
      <c r="B968" t="str">
        <f>IF(OR(Table1[[#This Row],[Offer_Date]]="",Table1[[#This Row],[Interview_Date]]=""),"",Table1[[#This Row],[Offer_Date]]-Table1[[#This Row],[Interview_Date]])</f>
        <v/>
      </c>
    </row>
    <row r="969" spans="1:2" x14ac:dyDescent="0.3">
      <c r="A969">
        <f>Table1[[#This Row],[Interview_Date]]-Table1[[#This Row],[Application_Date]]</f>
        <v>12</v>
      </c>
      <c r="B969" t="str">
        <f>IF(OR(Table1[[#This Row],[Offer_Date]]="",Table1[[#This Row],[Interview_Date]]=""),"",Table1[[#This Row],[Offer_Date]]-Table1[[#This Row],[Interview_Date]])</f>
        <v/>
      </c>
    </row>
    <row r="970" spans="1:2" x14ac:dyDescent="0.3">
      <c r="A970">
        <f>Table1[[#This Row],[Interview_Date]]-Table1[[#This Row],[Application_Date]]</f>
        <v>4</v>
      </c>
      <c r="B970">
        <f>IF(OR(Table1[[#This Row],[Offer_Date]]="",Table1[[#This Row],[Interview_Date]]=""),"",Table1[[#This Row],[Offer_Date]]-Table1[[#This Row],[Interview_Date]])</f>
        <v>7</v>
      </c>
    </row>
    <row r="971" spans="1:2" x14ac:dyDescent="0.3">
      <c r="A971">
        <f>Table1[[#This Row],[Interview_Date]]-Table1[[#This Row],[Application_Date]]</f>
        <v>8</v>
      </c>
      <c r="B971">
        <f>IF(OR(Table1[[#This Row],[Offer_Date]]="",Table1[[#This Row],[Interview_Date]]=""),"",Table1[[#This Row],[Offer_Date]]-Table1[[#This Row],[Interview_Date]])</f>
        <v>7</v>
      </c>
    </row>
    <row r="972" spans="1:2" x14ac:dyDescent="0.3">
      <c r="A972">
        <f>Table1[[#This Row],[Interview_Date]]-Table1[[#This Row],[Application_Date]]</f>
        <v>11</v>
      </c>
      <c r="B972" t="str">
        <f>IF(OR(Table1[[#This Row],[Offer_Date]]="",Table1[[#This Row],[Interview_Date]]=""),"",Table1[[#This Row],[Offer_Date]]-Table1[[#This Row],[Interview_Date]])</f>
        <v/>
      </c>
    </row>
    <row r="973" spans="1:2" x14ac:dyDescent="0.3">
      <c r="A973">
        <f>Table1[[#This Row],[Interview_Date]]-Table1[[#This Row],[Application_Date]]</f>
        <v>11</v>
      </c>
      <c r="B973" t="str">
        <f>IF(OR(Table1[[#This Row],[Offer_Date]]="",Table1[[#This Row],[Interview_Date]]=""),"",Table1[[#This Row],[Offer_Date]]-Table1[[#This Row],[Interview_Date]])</f>
        <v/>
      </c>
    </row>
    <row r="974" spans="1:2" x14ac:dyDescent="0.3">
      <c r="A974">
        <f>Table1[[#This Row],[Interview_Date]]-Table1[[#This Row],[Application_Date]]</f>
        <v>14</v>
      </c>
      <c r="B974">
        <f>IF(OR(Table1[[#This Row],[Offer_Date]]="",Table1[[#This Row],[Interview_Date]]=""),"",Table1[[#This Row],[Offer_Date]]-Table1[[#This Row],[Interview_Date]])</f>
        <v>2</v>
      </c>
    </row>
    <row r="975" spans="1:2" x14ac:dyDescent="0.3">
      <c r="A975">
        <f>Table1[[#This Row],[Interview_Date]]-Table1[[#This Row],[Application_Date]]</f>
        <v>8</v>
      </c>
      <c r="B975" t="str">
        <f>IF(OR(Table1[[#This Row],[Offer_Date]]="",Table1[[#This Row],[Interview_Date]]=""),"",Table1[[#This Row],[Offer_Date]]-Table1[[#This Row],[Interview_Date]])</f>
        <v/>
      </c>
    </row>
    <row r="976" spans="1:2" x14ac:dyDescent="0.3">
      <c r="A976">
        <f>Table1[[#This Row],[Interview_Date]]-Table1[[#This Row],[Application_Date]]</f>
        <v>7</v>
      </c>
      <c r="B976">
        <f>IF(OR(Table1[[#This Row],[Offer_Date]]="",Table1[[#This Row],[Interview_Date]]=""),"",Table1[[#This Row],[Offer_Date]]-Table1[[#This Row],[Interview_Date]])</f>
        <v>7</v>
      </c>
    </row>
    <row r="977" spans="1:2" x14ac:dyDescent="0.3">
      <c r="A977">
        <f>Table1[[#This Row],[Interview_Date]]-Table1[[#This Row],[Application_Date]]</f>
        <v>4</v>
      </c>
      <c r="B977" t="str">
        <f>IF(OR(Table1[[#This Row],[Offer_Date]]="",Table1[[#This Row],[Interview_Date]]=""),"",Table1[[#This Row],[Offer_Date]]-Table1[[#This Row],[Interview_Date]])</f>
        <v/>
      </c>
    </row>
    <row r="978" spans="1:2" x14ac:dyDescent="0.3">
      <c r="A978">
        <f>Table1[[#This Row],[Interview_Date]]-Table1[[#This Row],[Application_Date]]</f>
        <v>13</v>
      </c>
      <c r="B978">
        <f>IF(OR(Table1[[#This Row],[Offer_Date]]="",Table1[[#This Row],[Interview_Date]]=""),"",Table1[[#This Row],[Offer_Date]]-Table1[[#This Row],[Interview_Date]])</f>
        <v>2</v>
      </c>
    </row>
    <row r="979" spans="1:2" x14ac:dyDescent="0.3">
      <c r="A979">
        <f>Table1[[#This Row],[Interview_Date]]-Table1[[#This Row],[Application_Date]]</f>
        <v>7</v>
      </c>
      <c r="B979">
        <f>IF(OR(Table1[[#This Row],[Offer_Date]]="",Table1[[#This Row],[Interview_Date]]=""),"",Table1[[#This Row],[Offer_Date]]-Table1[[#This Row],[Interview_Date]])</f>
        <v>3</v>
      </c>
    </row>
    <row r="980" spans="1:2" x14ac:dyDescent="0.3">
      <c r="A980">
        <f>Table1[[#This Row],[Interview_Date]]-Table1[[#This Row],[Application_Date]]</f>
        <v>15</v>
      </c>
      <c r="B980">
        <f>IF(OR(Table1[[#This Row],[Offer_Date]]="",Table1[[#This Row],[Interview_Date]]=""),"",Table1[[#This Row],[Offer_Date]]-Table1[[#This Row],[Interview_Date]])</f>
        <v>5</v>
      </c>
    </row>
    <row r="981" spans="1:2" x14ac:dyDescent="0.3">
      <c r="A981">
        <f>Table1[[#This Row],[Interview_Date]]-Table1[[#This Row],[Application_Date]]</f>
        <v>5</v>
      </c>
      <c r="B981" t="str">
        <f>IF(OR(Table1[[#This Row],[Offer_Date]]="",Table1[[#This Row],[Interview_Date]]=""),"",Table1[[#This Row],[Offer_Date]]-Table1[[#This Row],[Interview_Date]])</f>
        <v/>
      </c>
    </row>
    <row r="982" spans="1:2" x14ac:dyDescent="0.3">
      <c r="A982">
        <f>Table1[[#This Row],[Interview_Date]]-Table1[[#This Row],[Application_Date]]</f>
        <v>3</v>
      </c>
      <c r="B982" t="str">
        <f>IF(OR(Table1[[#This Row],[Offer_Date]]="",Table1[[#This Row],[Interview_Date]]=""),"",Table1[[#This Row],[Offer_Date]]-Table1[[#This Row],[Interview_Date]])</f>
        <v/>
      </c>
    </row>
    <row r="983" spans="1:2" x14ac:dyDescent="0.3">
      <c r="A983">
        <f>Table1[[#This Row],[Interview_Date]]-Table1[[#This Row],[Application_Date]]</f>
        <v>9</v>
      </c>
      <c r="B983">
        <f>IF(OR(Table1[[#This Row],[Offer_Date]]="",Table1[[#This Row],[Interview_Date]]=""),"",Table1[[#This Row],[Offer_Date]]-Table1[[#This Row],[Interview_Date]])</f>
        <v>7</v>
      </c>
    </row>
    <row r="984" spans="1:2" x14ac:dyDescent="0.3">
      <c r="A984">
        <f>Table1[[#This Row],[Interview_Date]]-Table1[[#This Row],[Application_Date]]</f>
        <v>8</v>
      </c>
      <c r="B984">
        <f>IF(OR(Table1[[#This Row],[Offer_Date]]="",Table1[[#This Row],[Interview_Date]]=""),"",Table1[[#This Row],[Offer_Date]]-Table1[[#This Row],[Interview_Date]])</f>
        <v>6</v>
      </c>
    </row>
    <row r="985" spans="1:2" x14ac:dyDescent="0.3">
      <c r="A985">
        <f>Table1[[#This Row],[Interview_Date]]-Table1[[#This Row],[Application_Date]]</f>
        <v>13</v>
      </c>
      <c r="B985" t="str">
        <f>IF(OR(Table1[[#This Row],[Offer_Date]]="",Table1[[#This Row],[Interview_Date]]=""),"",Table1[[#This Row],[Offer_Date]]-Table1[[#This Row],[Interview_Date]])</f>
        <v/>
      </c>
    </row>
    <row r="986" spans="1:2" x14ac:dyDescent="0.3">
      <c r="A986">
        <f>Table1[[#This Row],[Interview_Date]]-Table1[[#This Row],[Application_Date]]</f>
        <v>9</v>
      </c>
      <c r="B986">
        <f>IF(OR(Table1[[#This Row],[Offer_Date]]="",Table1[[#This Row],[Interview_Date]]=""),"",Table1[[#This Row],[Offer_Date]]-Table1[[#This Row],[Interview_Date]])</f>
        <v>7</v>
      </c>
    </row>
    <row r="987" spans="1:2" x14ac:dyDescent="0.3">
      <c r="A987">
        <f>Table1[[#This Row],[Interview_Date]]-Table1[[#This Row],[Application_Date]]</f>
        <v>6</v>
      </c>
      <c r="B987">
        <f>IF(OR(Table1[[#This Row],[Offer_Date]]="",Table1[[#This Row],[Interview_Date]]=""),"",Table1[[#This Row],[Offer_Date]]-Table1[[#This Row],[Interview_Date]])</f>
        <v>4</v>
      </c>
    </row>
    <row r="988" spans="1:2" x14ac:dyDescent="0.3">
      <c r="A988">
        <f>Table1[[#This Row],[Interview_Date]]-Table1[[#This Row],[Application_Date]]</f>
        <v>5</v>
      </c>
      <c r="B988">
        <f>IF(OR(Table1[[#This Row],[Offer_Date]]="",Table1[[#This Row],[Interview_Date]]=""),"",Table1[[#This Row],[Offer_Date]]-Table1[[#This Row],[Interview_Date]])</f>
        <v>4</v>
      </c>
    </row>
    <row r="989" spans="1:2" x14ac:dyDescent="0.3">
      <c r="A989">
        <f>Table1[[#This Row],[Interview_Date]]-Table1[[#This Row],[Application_Date]]</f>
        <v>9</v>
      </c>
      <c r="B989">
        <f>IF(OR(Table1[[#This Row],[Offer_Date]]="",Table1[[#This Row],[Interview_Date]]=""),"",Table1[[#This Row],[Offer_Date]]-Table1[[#This Row],[Interview_Date]])</f>
        <v>2</v>
      </c>
    </row>
    <row r="990" spans="1:2" x14ac:dyDescent="0.3">
      <c r="A990">
        <f>Table1[[#This Row],[Interview_Date]]-Table1[[#This Row],[Application_Date]]</f>
        <v>4</v>
      </c>
      <c r="B990" t="str">
        <f>IF(OR(Table1[[#This Row],[Offer_Date]]="",Table1[[#This Row],[Interview_Date]]=""),"",Table1[[#This Row],[Offer_Date]]-Table1[[#This Row],[Interview_Date]])</f>
        <v/>
      </c>
    </row>
    <row r="991" spans="1:2" x14ac:dyDescent="0.3">
      <c r="A991">
        <f>Table1[[#This Row],[Interview_Date]]-Table1[[#This Row],[Application_Date]]</f>
        <v>11</v>
      </c>
      <c r="B991">
        <f>IF(OR(Table1[[#This Row],[Offer_Date]]="",Table1[[#This Row],[Interview_Date]]=""),"",Table1[[#This Row],[Offer_Date]]-Table1[[#This Row],[Interview_Date]])</f>
        <v>4</v>
      </c>
    </row>
    <row r="992" spans="1:2" x14ac:dyDescent="0.3">
      <c r="A992">
        <f>Table1[[#This Row],[Interview_Date]]-Table1[[#This Row],[Application_Date]]</f>
        <v>14</v>
      </c>
      <c r="B992" t="str">
        <f>IF(OR(Table1[[#This Row],[Offer_Date]]="",Table1[[#This Row],[Interview_Date]]=""),"",Table1[[#This Row],[Offer_Date]]-Table1[[#This Row],[Interview_Date]])</f>
        <v/>
      </c>
    </row>
    <row r="993" spans="1:2" x14ac:dyDescent="0.3">
      <c r="A993">
        <f>Table1[[#This Row],[Interview_Date]]-Table1[[#This Row],[Application_Date]]</f>
        <v>11</v>
      </c>
      <c r="B993">
        <f>IF(OR(Table1[[#This Row],[Offer_Date]]="",Table1[[#This Row],[Interview_Date]]=""),"",Table1[[#This Row],[Offer_Date]]-Table1[[#This Row],[Interview_Date]])</f>
        <v>3</v>
      </c>
    </row>
    <row r="994" spans="1:2" x14ac:dyDescent="0.3">
      <c r="A994">
        <f>Table1[[#This Row],[Interview_Date]]-Table1[[#This Row],[Application_Date]]</f>
        <v>10</v>
      </c>
      <c r="B994" t="str">
        <f>IF(OR(Table1[[#This Row],[Offer_Date]]="",Table1[[#This Row],[Interview_Date]]=""),"",Table1[[#This Row],[Offer_Date]]-Table1[[#This Row],[Interview_Date]])</f>
        <v/>
      </c>
    </row>
    <row r="995" spans="1:2" x14ac:dyDescent="0.3">
      <c r="A995">
        <f>Table1[[#This Row],[Interview_Date]]-Table1[[#This Row],[Application_Date]]</f>
        <v>7</v>
      </c>
      <c r="B995">
        <f>IF(OR(Table1[[#This Row],[Offer_Date]]="",Table1[[#This Row],[Interview_Date]]=""),"",Table1[[#This Row],[Offer_Date]]-Table1[[#This Row],[Interview_Date]])</f>
        <v>7</v>
      </c>
    </row>
    <row r="996" spans="1:2" x14ac:dyDescent="0.3">
      <c r="A996">
        <f>Table1[[#This Row],[Interview_Date]]-Table1[[#This Row],[Application_Date]]</f>
        <v>11</v>
      </c>
      <c r="B996">
        <f>IF(OR(Table1[[#This Row],[Offer_Date]]="",Table1[[#This Row],[Interview_Date]]=""),"",Table1[[#This Row],[Offer_Date]]-Table1[[#This Row],[Interview_Date]])</f>
        <v>2</v>
      </c>
    </row>
    <row r="997" spans="1:2" x14ac:dyDescent="0.3">
      <c r="A997">
        <f>Table1[[#This Row],[Interview_Date]]-Table1[[#This Row],[Application_Date]]</f>
        <v>3</v>
      </c>
      <c r="B997" t="str">
        <f>IF(OR(Table1[[#This Row],[Offer_Date]]="",Table1[[#This Row],[Interview_Date]]=""),"",Table1[[#This Row],[Offer_Date]]-Table1[[#This Row],[Interview_Date]])</f>
        <v/>
      </c>
    </row>
    <row r="998" spans="1:2" x14ac:dyDescent="0.3">
      <c r="A998">
        <f>Table1[[#This Row],[Interview_Date]]-Table1[[#This Row],[Application_Date]]</f>
        <v>9</v>
      </c>
      <c r="B998" t="str">
        <f>IF(OR(Table1[[#This Row],[Offer_Date]]="",Table1[[#This Row],[Interview_Date]]=""),"",Table1[[#This Row],[Offer_Date]]-Table1[[#This Row],[Interview_Date]])</f>
        <v/>
      </c>
    </row>
    <row r="999" spans="1:2" x14ac:dyDescent="0.3">
      <c r="A999">
        <f>Table1[[#This Row],[Interview_Date]]-Table1[[#This Row],[Application_Date]]</f>
        <v>11</v>
      </c>
      <c r="B999">
        <f>IF(OR(Table1[[#This Row],[Offer_Date]]="",Table1[[#This Row],[Interview_Date]]=""),"",Table1[[#This Row],[Offer_Date]]-Table1[[#This Row],[Interview_Date]])</f>
        <v>6</v>
      </c>
    </row>
    <row r="1000" spans="1:2" x14ac:dyDescent="0.3">
      <c r="A1000">
        <f>Table1[[#This Row],[Interview_Date]]-Table1[[#This Row],[Application_Date]]</f>
        <v>12</v>
      </c>
      <c r="B1000" t="str">
        <f>IF(OR(Table1[[#This Row],[Offer_Date]]="",Table1[[#This Row],[Interview_Date]]=""),"",Table1[[#This Row],[Offer_Date]]-Table1[[#This Row],[Interview_Date]])</f>
        <v/>
      </c>
    </row>
    <row r="1001" spans="1:2" x14ac:dyDescent="0.3">
      <c r="A1001">
        <f>Table1[[#This Row],[Interview_Date]]-Table1[[#This Row],[Application_Date]]</f>
        <v>9</v>
      </c>
      <c r="B1001">
        <f>IF(OR(Table1[[#This Row],[Offer_Date]]="",Table1[[#This Row],[Interview_Date]]=""),"",Table1[[#This Row],[Offer_Date]]-Table1[[#This Row],[Interview_Date]])</f>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BB8D-2E2E-4D7E-B1AF-C2F4F2C8CE68}">
  <dimension ref="B2:L22"/>
  <sheetViews>
    <sheetView topLeftCell="A2" workbookViewId="0">
      <selection activeCell="A2" sqref="A1:XFD1048576"/>
    </sheetView>
  </sheetViews>
  <sheetFormatPr defaultRowHeight="14.4" x14ac:dyDescent="0.3"/>
  <cols>
    <col min="2" max="2" width="12.5546875" bestFit="1" customWidth="1"/>
    <col min="3" max="3" width="20.33203125" bestFit="1" customWidth="1"/>
    <col min="7" max="7" width="12.5546875" bestFit="1" customWidth="1"/>
    <col min="8" max="8" width="20.33203125" bestFit="1" customWidth="1"/>
  </cols>
  <sheetData>
    <row r="2" spans="2:12" x14ac:dyDescent="0.3">
      <c r="B2" t="s">
        <v>1057</v>
      </c>
    </row>
    <row r="4" spans="2:12" x14ac:dyDescent="0.3">
      <c r="B4" s="2" t="s">
        <v>1058</v>
      </c>
      <c r="C4" t="s">
        <v>1060</v>
      </c>
    </row>
    <row r="5" spans="2:12" x14ac:dyDescent="0.3">
      <c r="B5" s="3" t="s">
        <v>34</v>
      </c>
      <c r="C5">
        <v>167</v>
      </c>
    </row>
    <row r="6" spans="2:12" x14ac:dyDescent="0.3">
      <c r="B6" s="3" t="s">
        <v>74</v>
      </c>
      <c r="C6">
        <v>168</v>
      </c>
    </row>
    <row r="7" spans="2:12" x14ac:dyDescent="0.3">
      <c r="B7" s="3" t="s">
        <v>19</v>
      </c>
      <c r="C7">
        <v>149</v>
      </c>
    </row>
    <row r="8" spans="2:12" x14ac:dyDescent="0.3">
      <c r="B8" s="3" t="s">
        <v>39</v>
      </c>
      <c r="C8">
        <v>177</v>
      </c>
    </row>
    <row r="9" spans="2:12" x14ac:dyDescent="0.3">
      <c r="B9" s="3" t="s">
        <v>56</v>
      </c>
      <c r="C9">
        <v>158</v>
      </c>
    </row>
    <row r="10" spans="2:12" x14ac:dyDescent="0.3">
      <c r="B10" s="3" t="s">
        <v>31</v>
      </c>
      <c r="C10">
        <v>181</v>
      </c>
    </row>
    <row r="11" spans="2:12" x14ac:dyDescent="0.3">
      <c r="B11" s="3" t="s">
        <v>1059</v>
      </c>
      <c r="C11">
        <v>1000</v>
      </c>
    </row>
    <row r="15" spans="2:12" x14ac:dyDescent="0.3">
      <c r="L15">
        <v>1</v>
      </c>
    </row>
    <row r="16" spans="2:12" x14ac:dyDescent="0.3">
      <c r="B16" t="s">
        <v>1061</v>
      </c>
    </row>
    <row r="19" spans="2:3" x14ac:dyDescent="0.3">
      <c r="B19" s="2" t="s">
        <v>1058</v>
      </c>
      <c r="C19" t="s">
        <v>1060</v>
      </c>
    </row>
    <row r="20" spans="2:3" x14ac:dyDescent="0.3">
      <c r="B20" s="3" t="s">
        <v>18</v>
      </c>
      <c r="C20">
        <v>497</v>
      </c>
    </row>
    <row r="21" spans="2:3" x14ac:dyDescent="0.3">
      <c r="B21" s="3" t="s">
        <v>26</v>
      </c>
      <c r="C21">
        <v>503</v>
      </c>
    </row>
    <row r="22" spans="2:3" x14ac:dyDescent="0.3">
      <c r="B22" s="3" t="s">
        <v>1059</v>
      </c>
      <c r="C22">
        <v>1000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FE8D-8484-401B-90D1-F9A82B891488}">
  <dimension ref="B2:C22"/>
  <sheetViews>
    <sheetView workbookViewId="0">
      <selection sqref="A1:XFD1048576"/>
    </sheetView>
  </sheetViews>
  <sheetFormatPr defaultRowHeight="14.4" x14ac:dyDescent="0.3"/>
  <cols>
    <col min="2" max="2" width="12.77734375" bestFit="1" customWidth="1"/>
    <col min="3" max="3" width="20.33203125" bestFit="1" customWidth="1"/>
  </cols>
  <sheetData>
    <row r="2" spans="2:3" x14ac:dyDescent="0.3">
      <c r="B2" t="s">
        <v>1062</v>
      </c>
    </row>
    <row r="4" spans="2:3" x14ac:dyDescent="0.3">
      <c r="B4" s="2" t="s">
        <v>13</v>
      </c>
      <c r="C4" t="s">
        <v>45</v>
      </c>
    </row>
    <row r="6" spans="2:3" x14ac:dyDescent="0.3">
      <c r="B6" s="2" t="s">
        <v>1058</v>
      </c>
      <c r="C6" t="s">
        <v>1060</v>
      </c>
    </row>
    <row r="7" spans="2:3" x14ac:dyDescent="0.3">
      <c r="B7" s="3" t="s">
        <v>51</v>
      </c>
      <c r="C7">
        <v>47</v>
      </c>
    </row>
    <row r="8" spans="2:3" x14ac:dyDescent="0.3">
      <c r="B8" s="3" t="s">
        <v>54</v>
      </c>
      <c r="C8">
        <v>52</v>
      </c>
    </row>
    <row r="9" spans="2:3" x14ac:dyDescent="0.3">
      <c r="B9" s="3" t="s">
        <v>21</v>
      </c>
      <c r="C9">
        <v>42</v>
      </c>
    </row>
    <row r="10" spans="2:3" x14ac:dyDescent="0.3">
      <c r="B10" s="3" t="s">
        <v>36</v>
      </c>
      <c r="C10">
        <v>60</v>
      </c>
    </row>
    <row r="11" spans="2:3" x14ac:dyDescent="0.3">
      <c r="B11" s="3" t="s">
        <v>40</v>
      </c>
      <c r="C11">
        <v>55</v>
      </c>
    </row>
    <row r="12" spans="2:3" x14ac:dyDescent="0.3">
      <c r="B12" s="3" t="s">
        <v>1059</v>
      </c>
      <c r="C12">
        <v>256</v>
      </c>
    </row>
    <row r="15" spans="2:3" x14ac:dyDescent="0.3">
      <c r="B15" t="s">
        <v>1069</v>
      </c>
    </row>
    <row r="17" spans="2:3" x14ac:dyDescent="0.3">
      <c r="B17" s="2" t="s">
        <v>1058</v>
      </c>
      <c r="C17" t="s">
        <v>1060</v>
      </c>
    </row>
    <row r="18" spans="2:3" x14ac:dyDescent="0.3">
      <c r="B18" s="3" t="s">
        <v>28</v>
      </c>
      <c r="C18">
        <v>262</v>
      </c>
    </row>
    <row r="19" spans="2:3" x14ac:dyDescent="0.3">
      <c r="B19" s="3" t="s">
        <v>45</v>
      </c>
      <c r="C19">
        <v>256</v>
      </c>
    </row>
    <row r="20" spans="2:3" x14ac:dyDescent="0.3">
      <c r="B20" s="3" t="s">
        <v>22</v>
      </c>
      <c r="C20">
        <v>251</v>
      </c>
    </row>
    <row r="21" spans="2:3" x14ac:dyDescent="0.3">
      <c r="B21" s="3" t="s">
        <v>48</v>
      </c>
      <c r="C21">
        <v>231</v>
      </c>
    </row>
    <row r="22" spans="2:3" x14ac:dyDescent="0.3">
      <c r="B22" s="3" t="s">
        <v>1059</v>
      </c>
      <c r="C22">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3C64-451C-40D1-BE3C-2507CDFBD367}">
  <dimension ref="B1:N16"/>
  <sheetViews>
    <sheetView workbookViewId="0">
      <selection sqref="A1:XFD1048576"/>
    </sheetView>
  </sheetViews>
  <sheetFormatPr defaultRowHeight="14.4" x14ac:dyDescent="0.3"/>
  <cols>
    <col min="2" max="2" width="12.5546875" bestFit="1" customWidth="1"/>
    <col min="3" max="3" width="20.33203125" bestFit="1" customWidth="1"/>
    <col min="4" max="4" width="18" bestFit="1" customWidth="1"/>
    <col min="5" max="5" width="28" bestFit="1" customWidth="1"/>
    <col min="6" max="6" width="18.109375" bestFit="1" customWidth="1"/>
    <col min="12" max="12" width="18.44140625" bestFit="1" customWidth="1"/>
    <col min="13" max="13" width="19.6640625" bestFit="1" customWidth="1"/>
  </cols>
  <sheetData>
    <row r="1" spans="2:14" x14ac:dyDescent="0.3">
      <c r="B1" s="10" t="s">
        <v>1070</v>
      </c>
      <c r="C1" s="11"/>
      <c r="D1" s="11"/>
      <c r="E1" s="11"/>
      <c r="F1" s="11"/>
    </row>
    <row r="2" spans="2:14" x14ac:dyDescent="0.3">
      <c r="B2" s="11"/>
      <c r="C2" s="11"/>
      <c r="D2" s="11"/>
      <c r="E2" s="11"/>
      <c r="F2" s="11"/>
    </row>
    <row r="5" spans="2:14" x14ac:dyDescent="0.3">
      <c r="B5" t="s">
        <v>1063</v>
      </c>
      <c r="C5" t="s">
        <v>1064</v>
      </c>
      <c r="D5" t="s">
        <v>1077</v>
      </c>
      <c r="E5" t="s">
        <v>1078</v>
      </c>
      <c r="F5" t="s">
        <v>1079</v>
      </c>
    </row>
    <row r="6" spans="2:14" x14ac:dyDescent="0.3">
      <c r="B6">
        <f>COUNTA(Table1[Candidate_ID])</f>
        <v>1000</v>
      </c>
      <c r="C6">
        <f>COUNTIF(Table1[Final_Status],"Selected")</f>
        <v>256</v>
      </c>
      <c r="D6" s="5">
        <f>B6/C6</f>
        <v>3.90625</v>
      </c>
      <c r="E6" s="4">
        <f>AVERAGEIF(Table1[Final_Status],"Selected",Table1[Offered_Salary])</f>
        <v>723223.9921875</v>
      </c>
      <c r="F6" s="4">
        <f>AVERAGE(Table1[Notice_Period_Days])</f>
        <v>5.923</v>
      </c>
      <c r="J6" s="6"/>
      <c r="K6" s="6"/>
      <c r="L6" s="6"/>
      <c r="M6" s="6"/>
      <c r="N6" s="6"/>
    </row>
    <row r="7" spans="2:14" x14ac:dyDescent="0.3">
      <c r="J7" s="6"/>
      <c r="K7" s="6"/>
      <c r="L7" s="7"/>
      <c r="M7" s="8"/>
      <c r="N7" s="9"/>
    </row>
    <row r="9" spans="2:14" x14ac:dyDescent="0.3">
      <c r="B9" t="s">
        <v>1071</v>
      </c>
    </row>
    <row r="11" spans="2:14" x14ac:dyDescent="0.3">
      <c r="B11" s="2" t="s">
        <v>1058</v>
      </c>
      <c r="C11" t="s">
        <v>1060</v>
      </c>
    </row>
    <row r="12" spans="2:14" x14ac:dyDescent="0.3">
      <c r="B12" s="3" t="s">
        <v>1072</v>
      </c>
      <c r="C12">
        <v>305</v>
      </c>
    </row>
    <row r="13" spans="2:14" x14ac:dyDescent="0.3">
      <c r="B13" s="3" t="s">
        <v>1073</v>
      </c>
      <c r="C13">
        <v>311</v>
      </c>
    </row>
    <row r="14" spans="2:14" x14ac:dyDescent="0.3">
      <c r="B14" s="3" t="s">
        <v>1074</v>
      </c>
      <c r="C14">
        <v>294</v>
      </c>
    </row>
    <row r="15" spans="2:14" x14ac:dyDescent="0.3">
      <c r="B15" s="3" t="s">
        <v>1075</v>
      </c>
      <c r="C15">
        <v>90</v>
      </c>
    </row>
    <row r="16" spans="2:14" x14ac:dyDescent="0.3">
      <c r="B16" s="3" t="s">
        <v>1059</v>
      </c>
      <c r="C16">
        <v>1000</v>
      </c>
    </row>
  </sheetData>
  <mergeCells count="1">
    <mergeCell ref="B1:F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89D-CA82-4A1B-8D0A-4FA3D4C609C1}">
  <dimension ref="A1"/>
  <sheetViews>
    <sheetView tabSelected="1" zoomScaleNormal="100" workbookViewId="0">
      <selection sqref="A1:XFD1048576"/>
    </sheetView>
  </sheetViews>
  <sheetFormatPr defaultRowHeight="14.4" x14ac:dyDescent="0.3"/>
  <cols>
    <col min="1" max="16384" width="8.88671875" style="12"/>
  </cols>
  <sheetData>
    <row r="1" spans="1:1" x14ac:dyDescent="0.3">
      <c r="A1" s="12">
        <f>' KPINPIVOT'!J7</f>
        <v>0</v>
      </c>
    </row>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Pre_Joining_Recruitment_Dataset</vt:lpstr>
      <vt:lpstr>Sheet6</vt:lpstr>
      <vt:lpstr>pivot tables 1</vt:lpstr>
      <vt:lpstr>pivot tables2</vt:lpstr>
      <vt:lpstr> KPINPIVOT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Suchitra U Savant</dc:creator>
  <cp:lastModifiedBy>suchitra618@outlook.com</cp:lastModifiedBy>
  <dcterms:created xsi:type="dcterms:W3CDTF">2025-12-22T19:16:45Z</dcterms:created>
  <dcterms:modified xsi:type="dcterms:W3CDTF">2025-12-22T20:52:22Z</dcterms:modified>
</cp:coreProperties>
</file>